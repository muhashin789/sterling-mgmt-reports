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ANKING FORMULA" sheetId="2" state="visible" r:id="rId4"/>
    <sheet name="SOURCES" sheetId="3" state="visible" r:id="rId5"/>
    <sheet name="INPUTS" sheetId="4" state="visible" r:id="rId6"/>
    <sheet name="BUYER DATA" sheetId="5" state="visible" r:id="rId7"/>
    <sheet name="SCORE BREAKDOWN" sheetId="6" state="visible" r:id="rId8"/>
    <sheet name="WORKED EXAMPLE" sheetId="7" state="visible" r:id="rId9"/>
  </sheets>
  <definedNames>
    <definedName function="false" hidden="true" localSheetId="5" name="_xlnm._FilterDatabase" vbProcedure="false">'SCORE BREAKDOWN'!$A$4:$AA$29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<sst xmlns="http://schemas.openxmlformats.org/spreadsheetml/2006/main" count="289" uniqueCount="250">
  <si>
    <t xml:space="preserve">Buyer Ranking — how the score is calculated</t>
  </si>
  <si>
    <t xml:space="preserve">Sterling Styles · Buyer KPI 01 Jan 2026 - 24 Oct 2026 · source: Buyer wise average CM &amp;earned report-2026 on 25-Oct-25.xlsx (sheet 2026, daily line-day rows)</t>
  </si>
  <si>
    <t xml:space="preserve">Step</t>
  </si>
  <si>
    <t xml:space="preserve">What happens</t>
  </si>
  <si>
    <t xml:space="preserve">Step 1 · Data</t>
  </si>
  <si>
    <t xml:space="preserve">Every row of the daily line report = 1 line-day (one sewing line, one day, one style). Earned $ = Pieces × CM/pc. SMV minutes = Pieces × SMV.</t>
  </si>
  <si>
    <t xml:space="preserve">Step 2 · Buyer totals</t>
  </si>
  <si>
    <t xml:space="preserve">Add up each buyer: line-days, pieces, earned $, SMV minutes; average efficiency and DHU of its line-days; average run length (consecutive days a style stays on one line).</t>
  </si>
  <si>
    <t xml:space="preserve">Step 3 · Six measures</t>
  </si>
  <si>
    <t xml:space="preserve">Yield = Earned ÷ Line-days · Value share = Buyer earned ÷ Factory earned · Price = Earned ÷ SMV minutes (CM $ per SMV minute) · Efficiency · Quality (DHU) · Run stability (days).</t>
  </si>
  <si>
    <t xml:space="preserve">Step 4 · Score each measure (0–100)</t>
  </si>
  <si>
    <t xml:space="preserve">Score = MIN(100, Actual ÷ Standard × 100). Quality is reversed (lower DHU is better): MIN(100, Standard DHU ÷ Actual DHU × 100). Meeting the standard = 100; nobody gets more than 100.</t>
  </si>
  <si>
    <t xml:space="preserve">Step 5 · Weighted total</t>
  </si>
  <si>
    <t xml:space="preserve">Total = Benchmark 30% + Value 20% + Price 20% + Efficiency 15% + Quality 10% + Run 5% (weights add to 100%, so the total is also 0–100).</t>
  </si>
  <si>
    <t xml:space="preserve">Step 6 · Grade</t>
  </si>
  <si>
    <t xml:space="preserve">A ≥ 85 · B 75–84.9 · C 65–74.9 · D &lt; 65.</t>
  </si>
  <si>
    <t xml:space="preserve">Step 7 · Rank</t>
  </si>
  <si>
    <t xml:space="preserve">Only buyers with 40+ line-days are RANKED (fewer = TRIAL, listed but not ranked). Rank 1 = highest total score. 'Move' = revenue rank − score rank (positive = the buyer ranks higher on quality of money than on size).</t>
  </si>
  <si>
    <t xml:space="preserve">Where to change</t>
  </si>
  <si>
    <t xml:space="preserve">Yellow cells on the INPUTS tab (standards, weights, grade bands, trial line-days). SCORE BREAKDOWN and WORKED EXAMPLE recalculate. BUYER DATA holds the buyer totals from the source file.</t>
  </si>
  <si>
    <t xml:space="preserve">Ranking formula — every step, Excel formula and live TARGET example</t>
  </si>
  <si>
    <t xml:space="preserve">Same formulas as the RANKING tab of your Buyer KPI pack (cell references shown). Example column recalculates from SCORE BREAKDOWN.</t>
  </si>
  <si>
    <t xml:space="preserve">Formula (plain)</t>
  </si>
  <si>
    <t xml:space="preserve">Excel formula in your KPI pack</t>
  </si>
  <si>
    <t xml:space="preserve">Where (your pack)</t>
  </si>
  <si>
    <t xml:space="preserve">TARGET now</t>
  </si>
  <si>
    <t xml:space="preserve">Yield $/line-day</t>
  </si>
  <si>
    <t xml:space="preserve">Earned $ ÷ Line-days</t>
  </si>
  <si>
    <t xml:space="preserve">=Earned/LineDays</t>
  </si>
  <si>
    <t xml:space="preserve">'BUYER KPI'!J (orig) · SCORE BREAKDOWN!C</t>
  </si>
  <si>
    <t xml:space="preserve">Value share</t>
  </si>
  <si>
    <t xml:space="preserve">Buyer earned ÷ Factory earned</t>
  </si>
  <si>
    <t xml:space="preserve">=Earned/FactoryEarned</t>
  </si>
  <si>
    <t xml:space="preserve">'BUYER KPI'!I · SCORE BREAKDOWN!D</t>
  </si>
  <si>
    <t xml:space="preserve">Price</t>
  </si>
  <si>
    <t xml:space="preserve">Earned $ ÷ (Pieces × SMV)</t>
  </si>
  <si>
    <t xml:space="preserve">=Earned/SMVminutes</t>
  </si>
  <si>
    <t xml:space="preserve">'BUYER KPI'!N · SCORE BREAKDOWN!E</t>
  </si>
  <si>
    <t xml:space="preserve">Benchmark score</t>
  </si>
  <si>
    <t xml:space="preserve">MIN(100, Yield ÷ 2,500 × 100)</t>
  </si>
  <si>
    <t xml:space="preserve">=MIN(100,G11/$A$6*100)</t>
  </si>
  <si>
    <t xml:space="preserve">RANKING!O11</t>
  </si>
  <si>
    <t xml:space="preserve">Value score</t>
  </si>
  <si>
    <t xml:space="preserve">MIN(100, Share ÷ 10% × 100)</t>
  </si>
  <si>
    <t xml:space="preserve">=MIN(100,'BUYER KPI'!I5/$C$6*100)</t>
  </si>
  <si>
    <t xml:space="preserve">RANKING!P11</t>
  </si>
  <si>
    <t xml:space="preserve">Price score</t>
  </si>
  <si>
    <t xml:space="preserve">MIN(100, Rate ÷ 0.0843 × 100)</t>
  </si>
  <si>
    <t xml:space="preserve">=MIN(100,I11/$E$6*100)</t>
  </si>
  <si>
    <t xml:space="preserve">RANKING!Q11</t>
  </si>
  <si>
    <t xml:space="preserve">Efficiency score</t>
  </si>
  <si>
    <t xml:space="preserve">MIN(100, Eff ÷ 80% × 100)</t>
  </si>
  <si>
    <t xml:space="preserve">=MIN(100,L11/$G$6*100)</t>
  </si>
  <si>
    <t xml:space="preserve">RANKING!R11</t>
  </si>
  <si>
    <t xml:space="preserve">Quality score</t>
  </si>
  <si>
    <t xml:space="preserve">MIN(100, 10% ÷ DHU × 100)</t>
  </si>
  <si>
    <t xml:space="preserve">=IFERROR(MIN(100,$I$6/M11*100),100)</t>
  </si>
  <si>
    <t xml:space="preserve">RANKING!S11</t>
  </si>
  <si>
    <t xml:space="preserve">Run score</t>
  </si>
  <si>
    <t xml:space="preserve">MIN(100, Run ÷ 10 × 100)</t>
  </si>
  <si>
    <t xml:space="preserve">=MIN(100,N11/$K$6*100)</t>
  </si>
  <si>
    <t xml:space="preserve">RANKING!T11</t>
  </si>
  <si>
    <t xml:space="preserve">Total score</t>
  </si>
  <si>
    <t xml:space="preserve">Σ score × weight</t>
  </si>
  <si>
    <t xml:space="preserve">=O11*$A$8+P11*$C$8+Q11*$E$8+R11*$G$8+S11*$I$8+T11*$K$8</t>
  </si>
  <si>
    <t xml:space="preserve">RANKING!D11</t>
  </si>
  <si>
    <t xml:space="preserve">Grade</t>
  </si>
  <si>
    <t xml:space="preserve">A/B/C/D from bands</t>
  </si>
  <si>
    <t xml:space="preserve">=IF(D11&gt;=85,"A",IF(D11&gt;=75,"B",IF(D11&gt;=65,"C","D")))</t>
  </si>
  <si>
    <t xml:space="preserve">RANKING!C11</t>
  </si>
  <si>
    <t xml:space="preserve">Rank</t>
  </si>
  <si>
    <t xml:space="preserve">position by total score (ranked buyers only)</t>
  </si>
  <si>
    <t xml:space="preserve">=RANK(D11,$D$11:$D$23)</t>
  </si>
  <si>
    <t xml:space="preserve">RANKING!A11</t>
  </si>
  <si>
    <t xml:space="preserve">Revenue rank · Move</t>
  </si>
  <si>
    <t xml:space="preserve">rank by earned $; Move = revenue rank − score rank</t>
  </si>
  <si>
    <t xml:space="preserve">=RANK(F11,$F$11:$F$23) · =U11-A11</t>
  </si>
  <si>
    <t xml:space="preserve">RANKING!U11, V11</t>
  </si>
  <si>
    <t xml:space="preserve">Sources — where every number and rule in the ranking comes from</t>
  </si>
  <si>
    <t xml:space="preserve">Honest note: this is Sterling's own internal scorecard from your Buyer KPI pack. It is not an external, audited or industry-published standard. The $2,500 benchmark and the $0.0843 price come from factory numbers; the efficiency, DHU, run, 10% share, weights and grade bands are management choices written in the pack's METHOD tab. Please have them signed off by management (the yellow cells can be changed and everything recalculates).</t>
  </si>
  <si>
    <t xml:space="preserve">Item</t>
  </si>
  <si>
    <t xml:space="preserve">Value used</t>
  </si>
  <si>
    <t xml:space="preserve">Type</t>
  </si>
  <si>
    <t xml:space="preserve">Source (file · tab / cell)</t>
  </si>
  <si>
    <t xml:space="preserve">Why (from your METHOD tab)</t>
  </si>
  <si>
    <t xml:space="preserve">Factory now (01 Jan 2026 - 24 Oct 2026)</t>
  </si>
  <si>
    <t xml:space="preserve">Raw data</t>
  </si>
  <si>
    <t xml:space="preserve">9,066 line-days</t>
  </si>
  <si>
    <t xml:space="preserve">Factory data</t>
  </si>
  <si>
    <t xml:space="preserve">Revenue/Buyer wise average CM &amp;earned report-2026 on 25-Oct-25.xlsx · sheet 2026 (daily line-day rows, data to 24 Oct 2026)</t>
  </si>
  <si>
    <t xml:space="preserve">Every number in the ranking is summed or averaged from this file. Nothing typed by hand.</t>
  </si>
  <si>
    <t xml:space="preserve">9,066 line-days · 25 buyers · $23,247,582 earned</t>
  </si>
  <si>
    <t xml:space="preserve">Scoring method (6 standards, cap 100, weights, grades, trial)</t>
  </si>
  <si>
    <t xml:space="preserve">—</t>
  </si>
  <si>
    <t xml:space="preserve">Your KPI pack method</t>
  </si>
  <si>
    <t xml:space="preserve">Sterling_Buyer_KPI_2026.xlsx (your original Buyer KPI pack, 01 Jan–15 Aug 2026) · tabs METHOD and RANKING (formulas in RANKING!A11:V23)</t>
  </si>
  <si>
    <t xml:space="preserve">Rebuilt exactly as in your pack; the 01 Jan–15 Aug result was reproduced before the 28-Sep and 10-Oct refreshes (ZARA #1 A 96.6 … TARGET #4 B 80.0).</t>
  </si>
  <si>
    <t xml:space="preserve">same method, new data</t>
  </si>
  <si>
    <t xml:space="preserve">Benchmark $/line-day</t>
  </si>
  <si>
    <t xml:space="preserve">$2,500</t>
  </si>
  <si>
    <t xml:space="preserve">Factory benchmark (management target)</t>
  </si>
  <si>
    <t xml:space="preserve">Sterling_Buyer_KPI_2026.xlsx (your original Buyer KPI pack, 01 Jan–15 Aug 2026) · RANKING!A6 · report header "benchmark: $2,500 earned per line per day"</t>
  </si>
  <si>
    <t xml:space="preserve">Answers "was that line-day worth giving away?" Heaviest weight because it already contains price, efficiency and manning.</t>
  </si>
  <si>
    <t xml:space="preserve">factory now $2,564/line-day · 53.3% of line-days reach it</t>
  </si>
  <si>
    <t xml:space="preserve">Value share standard</t>
  </si>
  <si>
    <t xml:space="preserve">10% of factory earned</t>
  </si>
  <si>
    <t xml:space="preserve">Method choice (policy)</t>
  </si>
  <si>
    <t xml:space="preserve">Sterling_Buyer_KPI_2026.xlsx (your original Buyer KPI pack, 01 Jan–15 Aug 2026) · RANKING!C6 · METHOD standard 2</t>
  </si>
  <si>
    <t xml:space="preserve">Scale has to count — an account earning $6m should not rank below one earning $100k on rate alone.</t>
  </si>
  <si>
    <t xml:space="preserve">25 buyers → even split would be 4.0% each</t>
  </si>
  <si>
    <t xml:space="preserve">Price standard</t>
  </si>
  <si>
    <t xml:space="preserve">$0.0843 per SMV minute</t>
  </si>
  <si>
    <t xml:space="preserve">Factory data (blended rate)</t>
  </si>
  <si>
    <t xml:space="preserve">Sterling_Buyer_KPI_2026.xlsx (your original Buyer KPI pack, 01 Jan–15 Aug 2026) · RANKING!E6 · = factory CM$ ÷ SMV minutes, 01 Jan–15 Aug 2026 (0.08431)</t>
  </si>
  <si>
    <t xml:space="preserve">CM per minute is the only fair price comparison across garments with different SMV.</t>
  </si>
  <si>
    <t xml:space="preserve">factory now $0.0836 per SMV minute</t>
  </si>
  <si>
    <t xml:space="preserve">Efficiency standard</t>
  </si>
  <si>
    <t xml:space="preserve">80%</t>
  </si>
  <si>
    <t xml:space="preserve">Method choice (target)</t>
  </si>
  <si>
    <t xml:space="preserve">Sterling_Buyer_KPI_2026.xlsx (your original Buyer KPI pack, 01 Jan–15 Aug 2026) · RANKING!G6 · METHOD standard 4</t>
  </si>
  <si>
    <t xml:space="preserve">Separates a pricing problem from a floor problem.</t>
  </si>
  <si>
    <t xml:space="preserve">factory now 69.5%</t>
  </si>
  <si>
    <t xml:space="preserve">Quality standard</t>
  </si>
  <si>
    <t xml:space="preserve">10% DHU (score = standard ÷ actual)</t>
  </si>
  <si>
    <t xml:space="preserve">Sterling_Buyer_KPI_2026.xlsx (your original Buyer KPI pack, 01 Jan–15 Aug 2026) · RANKING!I6 · METHOD standard 5</t>
  </si>
  <si>
    <t xml:space="preserve">Rework is capacity paid for twice; weighted below efficiency because it is partly inside efficiency.</t>
  </si>
  <si>
    <t xml:space="preserve">factory now 13.2% DHU</t>
  </si>
  <si>
    <t xml:space="preserve">Run stability standard</t>
  </si>
  <si>
    <t xml:space="preserve">10 consecutive line-days per style</t>
  </si>
  <si>
    <t xml:space="preserve">Sterling_Buyer_KPI_2026.xlsx (your original Buyer KPI pack, 01 Jan–15 Aug 2026) · RANKING!K6 · METHOD standard 6</t>
  </si>
  <si>
    <t xml:space="preserve">Every changeover costs learning-curve output; smallest weight because it is often the order book, not the buyer.</t>
  </si>
  <si>
    <t xml:space="preserve">per buyer, see breakdown</t>
  </si>
  <si>
    <t xml:space="preserve">Weights</t>
  </si>
  <si>
    <t xml:space="preserve">30 / 20 / 20 / 15 / 10 / 5 %</t>
  </si>
  <si>
    <t xml:space="preserve">Sterling_Buyer_KPI_2026.xlsx (your original Buyer KPI pack, 01 Jan–15 Aug 2026) · RANKING!A8:K8 · METHOD "The six standards"</t>
  </si>
  <si>
    <t xml:space="preserve">Benchmark heaviest (contains price + efficiency); value and price next; efficiency, quality, run smaller.</t>
  </si>
  <si>
    <t xml:space="preserve">sum = 100%</t>
  </si>
  <si>
    <t xml:space="preserve">Cap at 100</t>
  </si>
  <si>
    <t xml:space="preserve">MIN(100, …)</t>
  </si>
  <si>
    <t xml:space="preserve">Method choice</t>
  </si>
  <si>
    <t xml:space="preserve">Sterling_Buyer_KPI_2026.xlsx (your original Buyer KPI pack, 01 Jan–15 Aug 2026) · METHOD "Why scores are capped at 100"</t>
  </si>
  <si>
    <t xml:space="preserve">A scorecard against a standard, not a competition — one strong number cannot hide four weak ones.</t>
  </si>
  <si>
    <t xml:space="preserve">Grade bands</t>
  </si>
  <si>
    <t xml:space="preserve">A ≥85 · B 75–84 · C 65–74 · D &lt;65</t>
  </si>
  <si>
    <t xml:space="preserve">Sterling_Buyer_KPI_2026.xlsx (your original Buyer KPI pack, 01 Jan–15 Aug 2026) · METHOD "Grade bands" · RANKING!C11 formula</t>
  </si>
  <si>
    <t xml:space="preserve">Trial rule</t>
  </si>
  <si>
    <t xml:space="preserve">under 40 line-days = TRIAL (not ranked)</t>
  </si>
  <si>
    <t xml:space="preserve">Sterling_Buyer_KPI_2026.xlsx (your original Buyer KPI pack, 01 Jan–15 Aug 2026) · METHOD step 7</t>
  </si>
  <si>
    <t xml:space="preserve">A handful of days is not evidence; small samples throw extreme numbers both ways.</t>
  </si>
  <si>
    <t xml:space="preserve">8 trial buyers this period</t>
  </si>
  <si>
    <t xml:space="preserve">Colour of "Type"</t>
  </si>
  <si>
    <t xml:space="preserve">Factory data / benchmark</t>
  </si>
  <si>
    <t xml:space="preserve">Method choice — needs management sign-off</t>
  </si>
  <si>
    <t xml:space="preserve">Standards, weights &amp; bands (edit the yellow cells)</t>
  </si>
  <si>
    <t xml:space="preserve">From the Buyer KPI METHOD tab — the same numbers the dashboard uses</t>
  </si>
  <si>
    <t xml:space="preserve">Measure</t>
  </si>
  <si>
    <t xml:space="preserve">Standard</t>
  </si>
  <si>
    <t xml:space="preserve">Unit</t>
  </si>
  <si>
    <t xml:space="preserve">Weight</t>
  </si>
  <si>
    <t xml:space="preserve">Score formula</t>
  </si>
  <si>
    <t xml:space="preserve">Benchmark (Yield)</t>
  </si>
  <si>
    <t xml:space="preserve">$ earned per line-day</t>
  </si>
  <si>
    <t xml:space="preserve">Value (share of factory earned)</t>
  </si>
  <si>
    <t xml:space="preserve">share</t>
  </si>
  <si>
    <t xml:space="preserve">Price (CM $ per SMV minute)</t>
  </si>
  <si>
    <t xml:space="preserve">$ / SMV min</t>
  </si>
  <si>
    <t xml:space="preserve">Efficiency</t>
  </si>
  <si>
    <t xml:space="preserve">avg line efficiency</t>
  </si>
  <si>
    <t xml:space="preserve">Quality (DHU)</t>
  </si>
  <si>
    <t xml:space="preserve">avg DHU (lower = better)</t>
  </si>
  <si>
    <t xml:space="preserve">Run stability</t>
  </si>
  <si>
    <t xml:space="preserve">avg days a style stays on a line</t>
  </si>
  <si>
    <t xml:space="preserve">Total weight</t>
  </si>
  <si>
    <t xml:space="preserve">Grade A from</t>
  </si>
  <si>
    <t xml:space="preserve">below C = D</t>
  </si>
  <si>
    <t xml:space="preserve">Grade B from</t>
  </si>
  <si>
    <t xml:space="preserve">Grade C from</t>
  </si>
  <si>
    <t xml:space="preserve">Ranked if line-days ≥</t>
  </si>
  <si>
    <t xml:space="preserve">fewer line-days = TRIAL (not ranked)</t>
  </si>
  <si>
    <t xml:space="preserve">Buyer totals (from the source file)</t>
  </si>
  <si>
    <t xml:space="preserve">Hard numbers from Buyer wise average CM &amp;earned report-2026 on 25-Oct-25.xlsx · 01 Jan 2026 - 24 Oct 2026 · built by the Buyer KPI model (same as dashboard)</t>
  </si>
  <si>
    <t xml:space="preserve">Buyer</t>
  </si>
  <si>
    <t xml:space="preserve">Line-days</t>
  </si>
  <si>
    <t xml:space="preserve">Pieces</t>
  </si>
  <si>
    <t xml:space="preserve">Earned $</t>
  </si>
  <si>
    <t xml:space="preserve">SMV minutes</t>
  </si>
  <si>
    <t xml:space="preserve">Avg efficiency</t>
  </si>
  <si>
    <t xml:space="preserve">Avg DHU</t>
  </si>
  <si>
    <t xml:space="preserve">Avg run (days)</t>
  </si>
  <si>
    <t xml:space="preserve">Styles</t>
  </si>
  <si>
    <t xml:space="preserve">ZARA</t>
  </si>
  <si>
    <t xml:space="preserve">GAP</t>
  </si>
  <si>
    <t xml:space="preserve">OJG</t>
  </si>
  <si>
    <t xml:space="preserve">TARGET</t>
  </si>
  <si>
    <t xml:space="preserve">EXPRESS</t>
  </si>
  <si>
    <t xml:space="preserve">AERO</t>
  </si>
  <si>
    <t xml:space="preserve">SOLAMODA</t>
  </si>
  <si>
    <t xml:space="preserve">IMPLUSE</t>
  </si>
  <si>
    <t xml:space="preserve">NOBLE</t>
  </si>
  <si>
    <t xml:space="preserve">KMART</t>
  </si>
  <si>
    <t xml:space="preserve">NEW YORKER</t>
  </si>
  <si>
    <t xml:space="preserve">NEXT</t>
  </si>
  <si>
    <t xml:space="preserve">LAGER</t>
  </si>
  <si>
    <t xml:space="preserve">TRIBAL</t>
  </si>
  <si>
    <t xml:space="preserve">WALMART</t>
  </si>
  <si>
    <t xml:space="preserve">MED COUTORE</t>
  </si>
  <si>
    <t xml:space="preserve">CARRE FOUR</t>
  </si>
  <si>
    <t xml:space="preserve">LUCKY</t>
  </si>
  <si>
    <t xml:space="preserve">PULL &amp; BEAR</t>
  </si>
  <si>
    <t xml:space="preserve">FAKE GODS</t>
  </si>
  <si>
    <t xml:space="preserve">CIRCULAR JEAN</t>
  </si>
  <si>
    <t xml:space="preserve">JOULES</t>
  </si>
  <si>
    <t xml:space="preserve">BUSS PRO</t>
  </si>
  <si>
    <t xml:space="preserve">RAGNO</t>
  </si>
  <si>
    <t xml:space="preserve">SSL</t>
  </si>
  <si>
    <t xml:space="preserve">FACTORY TOTAL</t>
  </si>
  <si>
    <t xml:space="preserve">Note: efficiency, DHU and run are averages over each buyer's line-days (run = consecutive days the same style held one line). Numbers are not typed by hand — they come from the daily line report.</t>
  </si>
  <si>
    <t xml:space="preserve">Score breakdown per buyer — every step as a formula</t>
  </si>
  <si>
    <t xml:space="preserve">Measures → 0–100 scores → × weight → total → grade → rank. Sorted by total score (ranked buyers first).</t>
  </si>
  <si>
    <t xml:space="preserve">① Measures (actual)</t>
  </si>
  <si>
    <t xml:space="preserve">② Scores 0–100 = MIN(100, actual ÷ standard × 100)</t>
  </si>
  <si>
    <t xml:space="preserve">③ Points = score × weight</t>
  </si>
  <si>
    <t xml:space="preserve">④ Result</t>
  </si>
  <si>
    <t xml:space="preserve">Price $/SMV min</t>
  </si>
  <si>
    <t xml:space="preserve">DHU</t>
  </si>
  <si>
    <t xml:space="preserve">Run days</t>
  </si>
  <si>
    <t xml:space="preserve">Benchmark pts (×30%)</t>
  </si>
  <si>
    <t xml:space="preserve">Value pts (×20%)</t>
  </si>
  <si>
    <t xml:space="preserve">Price pts (×20%)</t>
  </si>
  <si>
    <t xml:space="preserve">Efficiency pts (×15%)</t>
  </si>
  <si>
    <t xml:space="preserve">Quality pts (×10%)</t>
  </si>
  <si>
    <t xml:space="preserve">Run pts (×5%)</t>
  </si>
  <si>
    <t xml:space="preserve">TOTAL SCORE</t>
  </si>
  <si>
    <t xml:space="preserve">Tier</t>
  </si>
  <si>
    <t xml:space="preserve">Score rank</t>
  </si>
  <si>
    <t xml:space="preserve">Revenue rank</t>
  </si>
  <si>
    <t xml:space="preserve">Move</t>
  </si>
  <si>
    <t xml:space="preserve">Check: TOTAL SCORE column matches the dashboard/Excel KPI pack (built by the same model). Change INPUTS to test other standards or weights.</t>
  </si>
  <si>
    <t xml:space="preserve">Worked example — pick a buyer in the yellow cell</t>
  </si>
  <si>
    <t xml:space="preserve">Every number is looked up from SCORE BREAKDOWN; the formula column shows how it is built</t>
  </si>
  <si>
    <t xml:space="preserve">row →</t>
  </si>
  <si>
    <t xml:space="preserve">Actual</t>
  </si>
  <si>
    <t xml:space="preserve">Score (0–100)</t>
  </si>
  <si>
    <t xml:space="preserve">Points</t>
  </si>
  <si>
    <t xml:space="preserve">Benchmark · Yield $/line-day</t>
  </si>
  <si>
    <t xml:space="preserve">Value · share of factory earned</t>
  </si>
  <si>
    <t xml:space="preserve">Price · CM $ per SMV minute</t>
  </si>
  <si>
    <t xml:space="preserve">Quality · DHU (lower is better)</t>
  </si>
  <si>
    <t xml:space="preserve">Run stability · days</t>
  </si>
  <si>
    <t xml:space="preserve">Read it like this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</si>
</sst>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0.0000"/>
    <numFmt numFmtId="168" formatCode="0.0"/>
    <numFmt numFmtId="169" formatCode="0"/>
    <numFmt numFmtId="170" formatCode="0%"/>
    <numFmt numFmtId="171" formatCode="#,##0"/>
    <numFmt numFmtId="172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Consolas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9BC2E6"/>
        <bgColor rgb="FFBFBFBF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BC2E6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42" hidden="false" customHeight="true" outlineLevel="0" collapsed="false">
      <c r="A4" s="3" t="s">
        <v>2</v>
      </c>
      <c r="B4" s="3" t="s">
        <v>3</v>
      </c>
    </row>
    <row r="5" customFormat="false" ht="43.5" hidden="false" customHeight="true" outlineLevel="0" collapsed="false">
      <c r="A5" s="4" t="s">
        <v>4</v>
      </c>
      <c r="B5" s="5" t="s">
        <v>5</v>
      </c>
    </row>
    <row r="6" customFormat="false" ht="43.5" hidden="false" customHeight="true" outlineLevel="0" collapsed="false">
      <c r="A6" s="4" t="s">
        <v>6</v>
      </c>
      <c r="B6" s="5" t="s">
        <v>7</v>
      </c>
    </row>
    <row r="7" customFormat="false" ht="43.5" hidden="false" customHeight="true" outlineLevel="0" collapsed="false">
      <c r="A7" s="4" t="s">
        <v>8</v>
      </c>
      <c r="B7" s="5" t="s">
        <v>9</v>
      </c>
    </row>
    <row r="8" customFormat="false" ht="43.5" hidden="false" customHeight="true" outlineLevel="0" collapsed="false">
      <c r="A8" s="4" t="s">
        <v>10</v>
      </c>
      <c r="B8" s="5" t="s">
        <v>11</v>
      </c>
    </row>
    <row r="9" customFormat="false" ht="43.5" hidden="false" customHeight="true" outlineLevel="0" collapsed="false">
      <c r="A9" s="4" t="s">
        <v>12</v>
      </c>
      <c r="B9" s="5" t="s">
        <v>13</v>
      </c>
    </row>
    <row r="10" customFormat="false" ht="43.5" hidden="false" customHeight="true" outlineLevel="0" collapsed="false">
      <c r="A10" s="4" t="s">
        <v>14</v>
      </c>
      <c r="B10" s="5" t="s">
        <v>15</v>
      </c>
    </row>
    <row r="11" customFormat="false" ht="43.5" hidden="false" customHeight="true" outlineLevel="0" collapsed="false">
      <c r="A11" s="4" t="s">
        <v>16</v>
      </c>
      <c r="B11" s="5" t="s">
        <v>17</v>
      </c>
    </row>
    <row r="12" customFormat="false" ht="43.5" hidden="false" customHeight="true" outlineLevel="0" collapsed="false">
      <c r="A12" s="4" t="s">
        <v>18</v>
      </c>
      <c r="B12" s="5" t="s">
        <v>19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</row>
    <row r="4" customFormat="false" ht="42" hidden="false" customHeight="true" outlineLevel="0" collapsed="false">
      <c r="A4" s="3" t="s">
        <v>2</v>
      </c>
      <c r="B4" s="3" t="s">
        <v>22</v>
      </c>
      <c r="C4" s="3" t="s">
        <v>23</v>
      </c>
      <c r="D4" s="3" t="s">
        <v>24</v>
      </c>
      <c r="E4" s="3" t="s">
        <v>25</v>
      </c>
    </row>
    <row r="5" customFormat="false" ht="30" hidden="false" customHeight="true" outlineLevel="0" collapsed="false">
      <c r="A5" s="6" t="s">
        <v>26</v>
      </c>
      <c r="B5" s="5" t="s">
        <v>27</v>
      </c>
      <c r="C5" s="7" t="s">
        <v>28</v>
      </c>
      <c r="D5" s="5" t="s">
        <v>29</v>
      </c>
      <c r="E5" s="8" t="n">
        <f aca="false">INDEX('SCORE BREAKDOWN'!$C$5:$C$29,MATCH("TARGET",'SCORE BREAKDOWN'!$A$5:$A$29,0))</f>
        <v>2198.61827242525</v>
      </c>
    </row>
    <row r="6" customFormat="false" ht="30" hidden="false" customHeight="true" outlineLevel="0" collapsed="false">
      <c r="A6" s="6" t="s">
        <v>30</v>
      </c>
      <c r="B6" s="5" t="s">
        <v>31</v>
      </c>
      <c r="C6" s="7" t="s">
        <v>32</v>
      </c>
      <c r="D6" s="5" t="s">
        <v>33</v>
      </c>
      <c r="E6" s="9" t="n">
        <f aca="false">INDEX('SCORE BREAKDOWN'!$D$5:$D$29,MATCH("TARGET",'SCORE BREAKDOWN'!$A$5:$A$29,0))</f>
        <v>0.056933585028727</v>
      </c>
    </row>
    <row r="7" customFormat="false" ht="30" hidden="false" customHeight="true" outlineLevel="0" collapsed="false">
      <c r="A7" s="6" t="s">
        <v>34</v>
      </c>
      <c r="B7" s="5" t="s">
        <v>35</v>
      </c>
      <c r="C7" s="7" t="s">
        <v>36</v>
      </c>
      <c r="D7" s="5" t="s">
        <v>37</v>
      </c>
      <c r="E7" s="10" t="n">
        <f aca="false">INDEX('SCORE BREAKDOWN'!$E$5:$E$29,MATCH("TARGET",'SCORE BREAKDOWN'!$A$5:$A$29,0))</f>
        <v>0.0757882324444289</v>
      </c>
    </row>
    <row r="8" customFormat="false" ht="30" hidden="false" customHeight="true" outlineLevel="0" collapsed="false">
      <c r="A8" s="6" t="s">
        <v>38</v>
      </c>
      <c r="B8" s="5" t="s">
        <v>39</v>
      </c>
      <c r="C8" s="7" t="s">
        <v>40</v>
      </c>
      <c r="D8" s="5" t="s">
        <v>41</v>
      </c>
      <c r="E8" s="11" t="n">
        <f aca="false">INDEX('SCORE BREAKDOWN'!$I$5:$I$29,MATCH("TARGET",'SCORE BREAKDOWN'!$A$5:$A$29,0))</f>
        <v>87.94473089701</v>
      </c>
    </row>
    <row r="9" customFormat="false" ht="30" hidden="false" customHeight="true" outlineLevel="0" collapsed="false">
      <c r="A9" s="6" t="s">
        <v>42</v>
      </c>
      <c r="B9" s="5" t="s">
        <v>43</v>
      </c>
      <c r="C9" s="7" t="s">
        <v>44</v>
      </c>
      <c r="D9" s="5" t="s">
        <v>45</v>
      </c>
      <c r="E9" s="11" t="n">
        <f aca="false">INDEX('SCORE BREAKDOWN'!$J$5:$J$29,MATCH("TARGET",'SCORE BREAKDOWN'!$A$5:$A$29,0))</f>
        <v>56.933585028727</v>
      </c>
    </row>
    <row r="10" customFormat="false" ht="30" hidden="false" customHeight="true" outlineLevel="0" collapsed="false">
      <c r="A10" s="6" t="s">
        <v>46</v>
      </c>
      <c r="B10" s="5" t="s">
        <v>47</v>
      </c>
      <c r="C10" s="7" t="s">
        <v>48</v>
      </c>
      <c r="D10" s="5" t="s">
        <v>49</v>
      </c>
      <c r="E10" s="11" t="n">
        <f aca="false">INDEX('SCORE BREAKDOWN'!$K$5:$K$29,MATCH("TARGET",'SCORE BREAKDOWN'!$A$5:$A$29,0))</f>
        <v>89.903004085918</v>
      </c>
    </row>
    <row r="11" customFormat="false" ht="30" hidden="false" customHeight="true" outlineLevel="0" collapsed="false">
      <c r="A11" s="6" t="s">
        <v>50</v>
      </c>
      <c r="B11" s="5" t="s">
        <v>51</v>
      </c>
      <c r="C11" s="7" t="s">
        <v>52</v>
      </c>
      <c r="D11" s="5" t="s">
        <v>53</v>
      </c>
      <c r="E11" s="11" t="n">
        <f aca="false">INDEX('SCORE BREAKDOWN'!$L$5:$L$29,MATCH("TARGET",'SCORE BREAKDOWN'!$A$5:$A$29,0))</f>
        <v>83.4499165368685</v>
      </c>
    </row>
    <row r="12" customFormat="false" ht="30" hidden="false" customHeight="true" outlineLevel="0" collapsed="false">
      <c r="A12" s="6" t="s">
        <v>54</v>
      </c>
      <c r="B12" s="5" t="s">
        <v>55</v>
      </c>
      <c r="C12" s="7" t="s">
        <v>56</v>
      </c>
      <c r="D12" s="5" t="s">
        <v>57</v>
      </c>
      <c r="E12" s="11" t="n">
        <f aca="false">INDEX('SCORE BREAKDOWN'!$M$5:$M$29,MATCH("TARGET",'SCORE BREAKDOWN'!$A$5:$A$29,0))</f>
        <v>85.5445055626104</v>
      </c>
    </row>
    <row r="13" customFormat="false" ht="30" hidden="false" customHeight="true" outlineLevel="0" collapsed="false">
      <c r="A13" s="6" t="s">
        <v>58</v>
      </c>
      <c r="B13" s="5" t="s">
        <v>59</v>
      </c>
      <c r="C13" s="7" t="s">
        <v>60</v>
      </c>
      <c r="D13" s="5" t="s">
        <v>61</v>
      </c>
      <c r="E13" s="11" t="n">
        <f aca="false">INDEX('SCORE BREAKDOWN'!$N$5:$N$29,MATCH("TARGET",'SCORE BREAKDOWN'!$A$5:$A$29,0))</f>
        <v>27.4885844748859</v>
      </c>
    </row>
    <row r="14" customFormat="false" ht="30" hidden="false" customHeight="true" outlineLevel="0" collapsed="false">
      <c r="A14" s="6" t="s">
        <v>62</v>
      </c>
      <c r="B14" s="5" t="s">
        <v>63</v>
      </c>
      <c r="C14" s="7" t="s">
        <v>64</v>
      </c>
      <c r="D14" s="5" t="s">
        <v>65</v>
      </c>
      <c r="E14" s="11" t="n">
        <f aca="false">INDEX('SCORE BREAKDOWN'!$U$5:$U$29,MATCH("TARGET",'SCORE BREAKDOWN'!$A$5:$A$29,0))</f>
        <v>78.1971043525676</v>
      </c>
    </row>
    <row r="15" customFormat="false" ht="30" hidden="false" customHeight="true" outlineLevel="0" collapsed="false">
      <c r="A15" s="6" t="s">
        <v>66</v>
      </c>
      <c r="B15" s="5" t="s">
        <v>67</v>
      </c>
      <c r="C15" s="7" t="s">
        <v>68</v>
      </c>
      <c r="D15" s="5" t="s">
        <v>69</v>
      </c>
      <c r="E15" s="4" t="str">
        <f aca="false">INDEX('SCORE BREAKDOWN'!$V$5:$V$29,MATCH("TARGET",'SCORE BREAKDOWN'!$A$5:$A$29,0))</f>
        <v>B</v>
      </c>
    </row>
    <row r="16" customFormat="false" ht="30" hidden="false" customHeight="true" outlineLevel="0" collapsed="false">
      <c r="A16" s="6" t="s">
        <v>70</v>
      </c>
      <c r="B16" s="5" t="s">
        <v>71</v>
      </c>
      <c r="C16" s="7" t="s">
        <v>72</v>
      </c>
      <c r="D16" s="5" t="s">
        <v>73</v>
      </c>
      <c r="E16" s="12" t="n">
        <f aca="false">INDEX('SCORE BREAKDOWN'!$X$5:$X$29,MATCH("TARGET",'SCORE BREAKDOWN'!$A$5:$A$29,0))</f>
        <v>4</v>
      </c>
    </row>
    <row r="17" customFormat="false" ht="30" hidden="false" customHeight="true" outlineLevel="0" collapsed="false">
      <c r="A17" s="6" t="s">
        <v>74</v>
      </c>
      <c r="B17" s="5" t="s">
        <v>75</v>
      </c>
      <c r="C17" s="7" t="s">
        <v>76</v>
      </c>
      <c r="D17" s="5" t="s">
        <v>77</v>
      </c>
      <c r="E17" s="12" t="n">
        <f aca="false">INDEX('SCORE BREAKDOWN'!$Y$5:$Y$29,MATCH("TARGET",'SCORE BREAKDOWN'!$A$5:$A$29,0))</f>
        <v>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52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78</v>
      </c>
      <c r="B1" s="1"/>
      <c r="C1" s="1"/>
      <c r="D1" s="1"/>
      <c r="E1" s="1"/>
      <c r="F1" s="1"/>
    </row>
    <row r="2" customFormat="false" ht="48" hidden="false" customHeight="true" outlineLevel="0" collapsed="false">
      <c r="A2" s="13" t="s">
        <v>79</v>
      </c>
      <c r="B2" s="13"/>
      <c r="C2" s="13"/>
      <c r="D2" s="13"/>
      <c r="E2" s="13"/>
      <c r="F2" s="13"/>
    </row>
    <row r="4" customFormat="false" ht="42" hidden="false" customHeight="true" outlineLevel="0" collapsed="false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</row>
    <row r="5" customFormat="false" ht="48" hidden="false" customHeight="true" outlineLevel="0" collapsed="false">
      <c r="A5" s="6" t="s">
        <v>86</v>
      </c>
      <c r="B5" s="5" t="s">
        <v>87</v>
      </c>
      <c r="C5" s="14" t="s">
        <v>88</v>
      </c>
      <c r="D5" s="5" t="s">
        <v>89</v>
      </c>
      <c r="E5" s="5" t="s">
        <v>90</v>
      </c>
      <c r="F5" s="5" t="s">
        <v>91</v>
      </c>
    </row>
    <row r="6" customFormat="false" ht="48" hidden="false" customHeight="true" outlineLevel="0" collapsed="false">
      <c r="A6" s="6" t="s">
        <v>92</v>
      </c>
      <c r="B6" s="5" t="s">
        <v>93</v>
      </c>
      <c r="C6" s="15" t="s">
        <v>94</v>
      </c>
      <c r="D6" s="5" t="s">
        <v>95</v>
      </c>
      <c r="E6" s="5" t="s">
        <v>96</v>
      </c>
      <c r="F6" s="5" t="s">
        <v>97</v>
      </c>
    </row>
    <row r="7" customFormat="false" ht="48" hidden="false" customHeight="true" outlineLevel="0" collapsed="false">
      <c r="A7" s="6" t="s">
        <v>98</v>
      </c>
      <c r="B7" s="5" t="s">
        <v>99</v>
      </c>
      <c r="C7" s="16" t="s">
        <v>100</v>
      </c>
      <c r="D7" s="5" t="s">
        <v>101</v>
      </c>
      <c r="E7" s="5" t="s">
        <v>102</v>
      </c>
      <c r="F7" s="5" t="s">
        <v>103</v>
      </c>
    </row>
    <row r="8" customFormat="false" ht="48" hidden="false" customHeight="true" outlineLevel="0" collapsed="false">
      <c r="A8" s="6" t="s">
        <v>104</v>
      </c>
      <c r="B8" s="5" t="s">
        <v>105</v>
      </c>
      <c r="C8" s="15" t="s">
        <v>106</v>
      </c>
      <c r="D8" s="5" t="s">
        <v>107</v>
      </c>
      <c r="E8" s="5" t="s">
        <v>108</v>
      </c>
      <c r="F8" s="5" t="s">
        <v>109</v>
      </c>
    </row>
    <row r="9" customFormat="false" ht="48" hidden="false" customHeight="true" outlineLevel="0" collapsed="false">
      <c r="A9" s="6" t="s">
        <v>110</v>
      </c>
      <c r="B9" s="5" t="s">
        <v>111</v>
      </c>
      <c r="C9" s="14" t="s">
        <v>112</v>
      </c>
      <c r="D9" s="5" t="s">
        <v>113</v>
      </c>
      <c r="E9" s="5" t="s">
        <v>114</v>
      </c>
      <c r="F9" s="5" t="s">
        <v>115</v>
      </c>
    </row>
    <row r="10" customFormat="false" ht="48" hidden="false" customHeight="true" outlineLevel="0" collapsed="false">
      <c r="A10" s="6" t="s">
        <v>116</v>
      </c>
      <c r="B10" s="5" t="s">
        <v>117</v>
      </c>
      <c r="C10" s="15" t="s">
        <v>118</v>
      </c>
      <c r="D10" s="5" t="s">
        <v>119</v>
      </c>
      <c r="E10" s="5" t="s">
        <v>120</v>
      </c>
      <c r="F10" s="5" t="s">
        <v>121</v>
      </c>
    </row>
    <row r="11" customFormat="false" ht="48" hidden="false" customHeight="true" outlineLevel="0" collapsed="false">
      <c r="A11" s="6" t="s">
        <v>122</v>
      </c>
      <c r="B11" s="5" t="s">
        <v>123</v>
      </c>
      <c r="C11" s="15" t="s">
        <v>118</v>
      </c>
      <c r="D11" s="5" t="s">
        <v>124</v>
      </c>
      <c r="E11" s="5" t="s">
        <v>125</v>
      </c>
      <c r="F11" s="5" t="s">
        <v>126</v>
      </c>
    </row>
    <row r="12" customFormat="false" ht="48" hidden="false" customHeight="true" outlineLevel="0" collapsed="false">
      <c r="A12" s="6" t="s">
        <v>127</v>
      </c>
      <c r="B12" s="5" t="s">
        <v>128</v>
      </c>
      <c r="C12" s="15" t="s">
        <v>118</v>
      </c>
      <c r="D12" s="5" t="s">
        <v>129</v>
      </c>
      <c r="E12" s="5" t="s">
        <v>130</v>
      </c>
      <c r="F12" s="5" t="s">
        <v>131</v>
      </c>
    </row>
    <row r="13" customFormat="false" ht="48" hidden="false" customHeight="true" outlineLevel="0" collapsed="false">
      <c r="A13" s="6" t="s">
        <v>132</v>
      </c>
      <c r="B13" s="5" t="s">
        <v>133</v>
      </c>
      <c r="C13" s="15" t="s">
        <v>106</v>
      </c>
      <c r="D13" s="5" t="s">
        <v>134</v>
      </c>
      <c r="E13" s="5" t="s">
        <v>135</v>
      </c>
      <c r="F13" s="5" t="s">
        <v>136</v>
      </c>
    </row>
    <row r="14" customFormat="false" ht="48" hidden="false" customHeight="true" outlineLevel="0" collapsed="false">
      <c r="A14" s="6" t="s">
        <v>137</v>
      </c>
      <c r="B14" s="5" t="s">
        <v>138</v>
      </c>
      <c r="C14" s="15" t="s">
        <v>139</v>
      </c>
      <c r="D14" s="5" t="s">
        <v>140</v>
      </c>
      <c r="E14" s="5" t="s">
        <v>141</v>
      </c>
      <c r="F14" s="5" t="s">
        <v>93</v>
      </c>
    </row>
    <row r="15" customFormat="false" ht="48" hidden="false" customHeight="true" outlineLevel="0" collapsed="false">
      <c r="A15" s="6" t="s">
        <v>142</v>
      </c>
      <c r="B15" s="5" t="s">
        <v>143</v>
      </c>
      <c r="C15" s="15" t="s">
        <v>139</v>
      </c>
      <c r="D15" s="5" t="s">
        <v>144</v>
      </c>
      <c r="E15" s="5" t="s">
        <v>93</v>
      </c>
      <c r="F15" s="5" t="s">
        <v>93</v>
      </c>
    </row>
    <row r="16" customFormat="false" ht="48" hidden="false" customHeight="true" outlineLevel="0" collapsed="false">
      <c r="A16" s="6" t="s">
        <v>145</v>
      </c>
      <c r="B16" s="5" t="s">
        <v>146</v>
      </c>
      <c r="C16" s="15" t="s">
        <v>139</v>
      </c>
      <c r="D16" s="5" t="s">
        <v>147</v>
      </c>
      <c r="E16" s="5" t="s">
        <v>148</v>
      </c>
      <c r="F16" s="5" t="s">
        <v>149</v>
      </c>
    </row>
    <row r="18" customFormat="false" ht="15" hidden="false" customHeight="false" outlineLevel="0" collapsed="false">
      <c r="A18" s="17" t="s">
        <v>150</v>
      </c>
    </row>
    <row r="19" customFormat="false" ht="15" hidden="false" customHeight="false" outlineLevel="0" collapsed="false">
      <c r="A19" s="18" t="s">
        <v>151</v>
      </c>
    </row>
    <row r="20" customFormat="false" ht="15" hidden="false" customHeight="false" outlineLevel="0" collapsed="false">
      <c r="A20" s="19" t="s">
        <v>152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25.5" hidden="false" customHeight="true" outlineLevel="0" collapsed="false">
      <c r="A1" s="1" t="s">
        <v>153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154</v>
      </c>
      <c r="B2" s="2"/>
      <c r="C2" s="2"/>
      <c r="D2" s="2"/>
      <c r="E2" s="2"/>
    </row>
    <row r="4" customFormat="false" ht="42" hidden="false" customHeight="true" outlineLevel="0" collapsed="false">
      <c r="A4" s="3" t="s">
        <v>155</v>
      </c>
      <c r="B4" s="3" t="s">
        <v>156</v>
      </c>
      <c r="C4" s="3" t="s">
        <v>157</v>
      </c>
      <c r="D4" s="3" t="s">
        <v>158</v>
      </c>
      <c r="E4" s="3" t="s">
        <v>159</v>
      </c>
    </row>
    <row r="5" customFormat="false" ht="15" hidden="false" customHeight="false" outlineLevel="0" collapsed="false">
      <c r="A5" s="20" t="s">
        <v>160</v>
      </c>
      <c r="B5" s="21" t="n">
        <v>2500</v>
      </c>
      <c r="C5" s="20" t="s">
        <v>161</v>
      </c>
      <c r="D5" s="22" t="n">
        <v>0.3</v>
      </c>
      <c r="E5" s="20" t="s">
        <v>39</v>
      </c>
    </row>
    <row r="6" customFormat="false" ht="15" hidden="false" customHeight="false" outlineLevel="0" collapsed="false">
      <c r="A6" s="20" t="s">
        <v>162</v>
      </c>
      <c r="B6" s="23" t="n">
        <v>0.1</v>
      </c>
      <c r="C6" s="20" t="s">
        <v>163</v>
      </c>
      <c r="D6" s="22" t="n">
        <v>0.2</v>
      </c>
      <c r="E6" s="20" t="s">
        <v>43</v>
      </c>
    </row>
    <row r="7" customFormat="false" ht="15" hidden="false" customHeight="false" outlineLevel="0" collapsed="false">
      <c r="A7" s="20" t="s">
        <v>164</v>
      </c>
      <c r="B7" s="24" t="n">
        <v>0.0843</v>
      </c>
      <c r="C7" s="20" t="s">
        <v>165</v>
      </c>
      <c r="D7" s="22" t="n">
        <v>0.2</v>
      </c>
      <c r="E7" s="20" t="s">
        <v>47</v>
      </c>
    </row>
    <row r="8" customFormat="false" ht="15" hidden="false" customHeight="false" outlineLevel="0" collapsed="false">
      <c r="A8" s="20" t="s">
        <v>166</v>
      </c>
      <c r="B8" s="23" t="n">
        <v>0.8</v>
      </c>
      <c r="C8" s="20" t="s">
        <v>167</v>
      </c>
      <c r="D8" s="22" t="n">
        <v>0.15</v>
      </c>
      <c r="E8" s="20" t="s">
        <v>51</v>
      </c>
    </row>
    <row r="9" customFormat="false" ht="15" hidden="false" customHeight="false" outlineLevel="0" collapsed="false">
      <c r="A9" s="20" t="s">
        <v>168</v>
      </c>
      <c r="B9" s="23" t="n">
        <v>0.1</v>
      </c>
      <c r="C9" s="20" t="s">
        <v>169</v>
      </c>
      <c r="D9" s="22" t="n">
        <v>0.1</v>
      </c>
      <c r="E9" s="20" t="s">
        <v>55</v>
      </c>
    </row>
    <row r="10" customFormat="false" ht="15" hidden="false" customHeight="false" outlineLevel="0" collapsed="false">
      <c r="A10" s="20" t="s">
        <v>170</v>
      </c>
      <c r="B10" s="25" t="n">
        <v>10</v>
      </c>
      <c r="C10" s="20" t="s">
        <v>171</v>
      </c>
      <c r="D10" s="22" t="n">
        <v>0.05</v>
      </c>
      <c r="E10" s="20" t="s">
        <v>59</v>
      </c>
    </row>
    <row r="11" customFormat="false" ht="15" hidden="false" customHeight="false" outlineLevel="0" collapsed="false">
      <c r="A11" s="4" t="s">
        <v>172</v>
      </c>
      <c r="D11" s="26" t="n">
        <f aca="false">SUM(D5:D10)</f>
        <v>1</v>
      </c>
    </row>
    <row r="13" customFormat="false" ht="15" hidden="false" customHeight="false" outlineLevel="0" collapsed="false">
      <c r="A13" s="4" t="s">
        <v>173</v>
      </c>
      <c r="B13" s="27" t="n">
        <v>85</v>
      </c>
      <c r="C13" s="28" t="s">
        <v>174</v>
      </c>
    </row>
    <row r="14" customFormat="false" ht="15" hidden="false" customHeight="false" outlineLevel="0" collapsed="false">
      <c r="A14" s="4" t="s">
        <v>175</v>
      </c>
      <c r="B14" s="27" t="n">
        <v>75</v>
      </c>
    </row>
    <row r="15" customFormat="false" ht="15" hidden="false" customHeight="false" outlineLevel="0" collapsed="false">
      <c r="A15" s="4" t="s">
        <v>176</v>
      </c>
      <c r="B15" s="27" t="n">
        <v>65</v>
      </c>
    </row>
    <row r="16" customFormat="false" ht="15" hidden="false" customHeight="false" outlineLevel="0" collapsed="false">
      <c r="A16" s="4" t="s">
        <v>177</v>
      </c>
      <c r="B16" s="27" t="n">
        <v>40</v>
      </c>
      <c r="C16" s="28" t="s">
        <v>178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</cols>
  <sheetData>
    <row r="1" customFormat="false" ht="25.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180</v>
      </c>
      <c r="B2" s="2"/>
      <c r="C2" s="2"/>
      <c r="D2" s="2"/>
      <c r="E2" s="2"/>
      <c r="F2" s="2"/>
      <c r="G2" s="2"/>
      <c r="H2" s="2"/>
      <c r="I2" s="2"/>
    </row>
    <row r="4" customFormat="false" ht="42" hidden="false" customHeight="true" outlineLevel="0" collapsed="false">
      <c r="A4" s="3" t="s">
        <v>181</v>
      </c>
      <c r="B4" s="3" t="s">
        <v>182</v>
      </c>
      <c r="C4" s="3" t="s">
        <v>183</v>
      </c>
      <c r="D4" s="3" t="s">
        <v>184</v>
      </c>
      <c r="E4" s="3" t="s">
        <v>185</v>
      </c>
      <c r="F4" s="3" t="s">
        <v>186</v>
      </c>
      <c r="G4" s="3" t="s">
        <v>187</v>
      </c>
      <c r="H4" s="3" t="s">
        <v>188</v>
      </c>
      <c r="I4" s="3" t="s">
        <v>189</v>
      </c>
    </row>
    <row r="5" customFormat="false" ht="15" hidden="false" customHeight="false" outlineLevel="0" collapsed="false">
      <c r="A5" s="20" t="s">
        <v>190</v>
      </c>
      <c r="B5" s="29" t="n">
        <v>2476</v>
      </c>
      <c r="C5" s="29" t="n">
        <v>3807063</v>
      </c>
      <c r="D5" s="30" t="n">
        <v>7208435.25</v>
      </c>
      <c r="E5" s="29" t="n">
        <v>82527003.2</v>
      </c>
      <c r="F5" s="31" t="n">
        <v>0.744756129831426</v>
      </c>
      <c r="G5" s="31" t="n">
        <v>0.13858872931753</v>
      </c>
      <c r="H5" s="32" t="n">
        <v>10.7652173913044</v>
      </c>
      <c r="I5" s="33" t="n">
        <v>82</v>
      </c>
    </row>
    <row r="6" customFormat="false" ht="15" hidden="false" customHeight="false" outlineLevel="0" collapsed="false">
      <c r="A6" s="20" t="s">
        <v>191</v>
      </c>
      <c r="B6" s="29" t="n">
        <v>768</v>
      </c>
      <c r="C6" s="29" t="n">
        <v>1273072</v>
      </c>
      <c r="D6" s="30" t="n">
        <v>2402256.4</v>
      </c>
      <c r="E6" s="29" t="n">
        <v>24264062.2</v>
      </c>
      <c r="F6" s="31" t="n">
        <v>0.739520389902144</v>
      </c>
      <c r="G6" s="31" t="n">
        <v>0.129768614447869</v>
      </c>
      <c r="H6" s="32" t="n">
        <v>5.22448979591837</v>
      </c>
      <c r="I6" s="33" t="n">
        <v>50</v>
      </c>
    </row>
    <row r="7" customFormat="false" ht="15" hidden="false" customHeight="false" outlineLevel="0" collapsed="false">
      <c r="A7" s="20" t="s">
        <v>192</v>
      </c>
      <c r="B7" s="29" t="n">
        <v>2591</v>
      </c>
      <c r="C7" s="29" t="n">
        <v>4110719.49454083</v>
      </c>
      <c r="D7" s="30" t="n">
        <v>6274253.61695498</v>
      </c>
      <c r="E7" s="29" t="n">
        <v>78740230.1236187</v>
      </c>
      <c r="F7" s="31" t="n">
        <v>0.700157951193801</v>
      </c>
      <c r="G7" s="31" t="n">
        <v>0.123750725842212</v>
      </c>
      <c r="H7" s="32" t="n">
        <v>9.88931297709924</v>
      </c>
      <c r="I7" s="33" t="n">
        <v>71</v>
      </c>
    </row>
    <row r="8" customFormat="false" ht="15" hidden="false" customHeight="false" outlineLevel="0" collapsed="false">
      <c r="A8" s="20" t="s">
        <v>193</v>
      </c>
      <c r="B8" s="29" t="n">
        <v>602</v>
      </c>
      <c r="C8" s="29" t="n">
        <v>805583</v>
      </c>
      <c r="D8" s="30" t="n">
        <v>1323568.2</v>
      </c>
      <c r="E8" s="29" t="n">
        <v>17464033.1</v>
      </c>
      <c r="F8" s="31" t="n">
        <v>0.667599332294948</v>
      </c>
      <c r="G8" s="31" t="n">
        <v>0.116898214961111</v>
      </c>
      <c r="H8" s="32" t="n">
        <v>2.74885844748859</v>
      </c>
      <c r="I8" s="33" t="n">
        <v>96</v>
      </c>
    </row>
    <row r="9" customFormat="false" ht="15" hidden="false" customHeight="false" outlineLevel="0" collapsed="false">
      <c r="A9" s="20" t="s">
        <v>194</v>
      </c>
      <c r="B9" s="29" t="n">
        <v>264</v>
      </c>
      <c r="C9" s="29" t="n">
        <v>336685</v>
      </c>
      <c r="D9" s="30" t="n">
        <v>826217.5</v>
      </c>
      <c r="E9" s="29" t="n">
        <v>7138793.6</v>
      </c>
      <c r="F9" s="31" t="n">
        <v>0.646429680808697</v>
      </c>
      <c r="G9" s="31" t="n">
        <v>0.141578962274672</v>
      </c>
      <c r="H9" s="32" t="n">
        <v>2.29565217391304</v>
      </c>
      <c r="I9" s="33" t="n">
        <v>58</v>
      </c>
    </row>
    <row r="10" customFormat="false" ht="15" hidden="false" customHeight="false" outlineLevel="0" collapsed="false">
      <c r="A10" s="20" t="s">
        <v>195</v>
      </c>
      <c r="B10" s="29" t="n">
        <v>156</v>
      </c>
      <c r="C10" s="29" t="n">
        <v>278999</v>
      </c>
      <c r="D10" s="30" t="n">
        <v>402484.6</v>
      </c>
      <c r="E10" s="29" t="n">
        <v>4224159.01</v>
      </c>
      <c r="F10" s="31" t="n">
        <v>0.637405745620743</v>
      </c>
      <c r="G10" s="31" t="n">
        <v>0.124163503274834</v>
      </c>
      <c r="H10" s="32" t="n">
        <v>7.8</v>
      </c>
      <c r="I10" s="33" t="n">
        <v>8</v>
      </c>
    </row>
    <row r="11" customFormat="false" ht="15" hidden="false" customHeight="false" outlineLevel="0" collapsed="false">
      <c r="A11" s="20" t="s">
        <v>196</v>
      </c>
      <c r="B11" s="29" t="n">
        <v>364</v>
      </c>
      <c r="C11" s="29" t="n">
        <v>529040</v>
      </c>
      <c r="D11" s="30" t="n">
        <v>812356.4</v>
      </c>
      <c r="E11" s="29" t="n">
        <v>12061646</v>
      </c>
      <c r="F11" s="31" t="n">
        <v>0.705532199765932</v>
      </c>
      <c r="G11" s="31" t="n">
        <v>0.131106522211397</v>
      </c>
      <c r="H11" s="32" t="n">
        <v>11.741935483871</v>
      </c>
      <c r="I11" s="33" t="n">
        <v>18</v>
      </c>
    </row>
    <row r="12" customFormat="false" ht="15" hidden="false" customHeight="false" outlineLevel="0" collapsed="false">
      <c r="A12" s="20" t="s">
        <v>197</v>
      </c>
      <c r="B12" s="29" t="n">
        <v>180</v>
      </c>
      <c r="C12" s="29" t="n">
        <v>252030</v>
      </c>
      <c r="D12" s="30" t="n">
        <v>412264</v>
      </c>
      <c r="E12" s="29" t="n">
        <v>5072364.7</v>
      </c>
      <c r="F12" s="31" t="n">
        <v>0.628498724005994</v>
      </c>
      <c r="G12" s="31" t="n">
        <v>0.108621333948937</v>
      </c>
      <c r="H12" s="32" t="n">
        <v>8.57142857142857</v>
      </c>
      <c r="I12" s="33" t="n">
        <v>10</v>
      </c>
    </row>
    <row r="13" customFormat="false" ht="15" hidden="false" customHeight="false" outlineLevel="0" collapsed="false">
      <c r="A13" s="20" t="s">
        <v>198</v>
      </c>
      <c r="B13" s="29" t="n">
        <v>252</v>
      </c>
      <c r="C13" s="29" t="n">
        <v>240943</v>
      </c>
      <c r="D13" s="30" t="n">
        <v>677870.64</v>
      </c>
      <c r="E13" s="29" t="n">
        <v>5745850.55</v>
      </c>
      <c r="F13" s="31" t="n">
        <v>0.548262445573875</v>
      </c>
      <c r="G13" s="31" t="n">
        <v>0.175343571153971</v>
      </c>
      <c r="H13" s="32" t="n">
        <v>6</v>
      </c>
      <c r="I13" s="33" t="n">
        <v>24</v>
      </c>
    </row>
    <row r="14" customFormat="false" ht="15" hidden="false" customHeight="false" outlineLevel="0" collapsed="false">
      <c r="A14" s="20" t="s">
        <v>199</v>
      </c>
      <c r="B14" s="29" t="n">
        <v>297</v>
      </c>
      <c r="C14" s="29" t="n">
        <v>620930</v>
      </c>
      <c r="D14" s="30" t="n">
        <v>657053</v>
      </c>
      <c r="E14" s="29" t="n">
        <v>9259137</v>
      </c>
      <c r="F14" s="31" t="n">
        <v>0.681773174563968</v>
      </c>
      <c r="G14" s="31" t="n">
        <v>0.128006786188539</v>
      </c>
      <c r="H14" s="32" t="n">
        <v>14.85</v>
      </c>
      <c r="I14" s="33" t="n">
        <v>4</v>
      </c>
    </row>
    <row r="15" customFormat="false" ht="15" hidden="false" customHeight="false" outlineLevel="0" collapsed="false">
      <c r="A15" s="20" t="s">
        <v>200</v>
      </c>
      <c r="B15" s="29" t="n">
        <v>113</v>
      </c>
      <c r="C15" s="29" t="n">
        <v>172955</v>
      </c>
      <c r="D15" s="30" t="n">
        <v>258144.2</v>
      </c>
      <c r="E15" s="29" t="n">
        <v>3581077.4</v>
      </c>
      <c r="F15" s="31" t="n">
        <v>0.68071529137513</v>
      </c>
      <c r="G15" s="31" t="n">
        <v>0.121042275698037</v>
      </c>
      <c r="H15" s="32" t="n">
        <v>14.125</v>
      </c>
      <c r="I15" s="33" t="n">
        <v>4</v>
      </c>
    </row>
    <row r="16" customFormat="false" ht="15" hidden="false" customHeight="false" outlineLevel="0" collapsed="false">
      <c r="A16" s="20" t="s">
        <v>201</v>
      </c>
      <c r="B16" s="29" t="n">
        <v>292</v>
      </c>
      <c r="C16" s="29" t="n">
        <v>452302</v>
      </c>
      <c r="D16" s="30" t="n">
        <v>621864.6</v>
      </c>
      <c r="E16" s="29" t="n">
        <v>7662752.94</v>
      </c>
      <c r="F16" s="31" t="n">
        <v>0.612387501149415</v>
      </c>
      <c r="G16" s="31" t="n">
        <v>0.140849242627748</v>
      </c>
      <c r="H16" s="32" t="n">
        <v>4.49230769230769</v>
      </c>
      <c r="I16" s="33" t="n">
        <v>56</v>
      </c>
    </row>
    <row r="17" customFormat="false" ht="15" hidden="false" customHeight="false" outlineLevel="0" collapsed="false">
      <c r="A17" s="20" t="s">
        <v>202</v>
      </c>
      <c r="B17" s="29" t="n">
        <v>68</v>
      </c>
      <c r="C17" s="29" t="n">
        <v>80420</v>
      </c>
      <c r="D17" s="30" t="n">
        <v>142959</v>
      </c>
      <c r="E17" s="29" t="n">
        <v>1885666.2</v>
      </c>
      <c r="F17" s="31" t="n">
        <v>0.604901076918281</v>
      </c>
      <c r="G17" s="31" t="n">
        <v>0.125142483190014</v>
      </c>
      <c r="H17" s="32" t="n">
        <v>7.55555555555556</v>
      </c>
      <c r="I17" s="33" t="n">
        <v>4</v>
      </c>
    </row>
    <row r="18" customFormat="false" ht="15" hidden="false" customHeight="false" outlineLevel="0" collapsed="false">
      <c r="A18" s="20" t="s">
        <v>203</v>
      </c>
      <c r="B18" s="29" t="n">
        <v>49</v>
      </c>
      <c r="C18" s="29" t="n">
        <v>50550</v>
      </c>
      <c r="D18" s="30" t="n">
        <v>126375</v>
      </c>
      <c r="E18" s="29" t="n">
        <v>1092590.5</v>
      </c>
      <c r="F18" s="31" t="n">
        <v>0.510648919569498</v>
      </c>
      <c r="G18" s="31" t="n">
        <v>0.229980530064991</v>
      </c>
      <c r="H18" s="32" t="n">
        <v>2.72222222222222</v>
      </c>
      <c r="I18" s="33" t="n">
        <v>10</v>
      </c>
    </row>
    <row r="19" customFormat="false" ht="15" hidden="false" customHeight="false" outlineLevel="0" collapsed="false">
      <c r="A19" s="20" t="s">
        <v>204</v>
      </c>
      <c r="B19" s="29" t="n">
        <v>152</v>
      </c>
      <c r="C19" s="29" t="n">
        <v>299840</v>
      </c>
      <c r="D19" s="30" t="n">
        <v>311833.6</v>
      </c>
      <c r="E19" s="29" t="n">
        <v>5380225.2</v>
      </c>
      <c r="F19" s="31" t="n">
        <v>0.755906767428022</v>
      </c>
      <c r="G19" s="31" t="n">
        <v>0.165426448328242</v>
      </c>
      <c r="H19" s="32" t="n">
        <v>38</v>
      </c>
      <c r="I19" s="33" t="n">
        <v>1</v>
      </c>
    </row>
    <row r="20" customFormat="false" ht="15" hidden="false" customHeight="false" outlineLevel="0" collapsed="false">
      <c r="A20" s="20" t="s">
        <v>205</v>
      </c>
      <c r="B20" s="29" t="n">
        <v>244</v>
      </c>
      <c r="C20" s="29" t="n">
        <v>348570</v>
      </c>
      <c r="D20" s="30" t="n">
        <v>431527</v>
      </c>
      <c r="E20" s="29" t="n">
        <v>7518165.4</v>
      </c>
      <c r="F20" s="31" t="n">
        <v>0.656324340332686</v>
      </c>
      <c r="G20" s="31" t="n">
        <v>0.0861262262217724</v>
      </c>
      <c r="H20" s="32" t="n">
        <v>4.43636363636364</v>
      </c>
      <c r="I20" s="33" t="n">
        <v>14</v>
      </c>
    </row>
    <row r="21" customFormat="false" ht="15" hidden="false" customHeight="false" outlineLevel="0" collapsed="false">
      <c r="A21" s="20" t="s">
        <v>206</v>
      </c>
      <c r="B21" s="29" t="n">
        <v>123</v>
      </c>
      <c r="C21" s="29" t="n">
        <v>106538</v>
      </c>
      <c r="D21" s="30" t="n">
        <v>218519.68</v>
      </c>
      <c r="E21" s="29" t="n">
        <v>2800637.06</v>
      </c>
      <c r="F21" s="31" t="n">
        <v>0.492468722813394</v>
      </c>
      <c r="G21" s="31" t="n">
        <v>0.182442937614347</v>
      </c>
      <c r="H21" s="32" t="n">
        <v>7.6875</v>
      </c>
      <c r="I21" s="33" t="n">
        <v>13</v>
      </c>
    </row>
    <row r="22" customFormat="false" ht="15" hidden="false" customHeight="false" outlineLevel="0" collapsed="false">
      <c r="A22" s="20" t="s">
        <v>207</v>
      </c>
      <c r="B22" s="29" t="n">
        <v>18</v>
      </c>
      <c r="C22" s="29" t="n">
        <v>11740</v>
      </c>
      <c r="D22" s="30" t="n">
        <v>34620</v>
      </c>
      <c r="E22" s="29" t="n">
        <v>457507.8</v>
      </c>
      <c r="F22" s="31" t="n">
        <v>0.486716666666667</v>
      </c>
      <c r="G22" s="31" t="n">
        <v>0.214805555555556</v>
      </c>
      <c r="H22" s="32" t="n">
        <v>9</v>
      </c>
      <c r="I22" s="33" t="n">
        <v>1</v>
      </c>
    </row>
    <row r="23" customFormat="false" ht="15" hidden="false" customHeight="false" outlineLevel="0" collapsed="false">
      <c r="A23" s="20" t="s">
        <v>208</v>
      </c>
      <c r="B23" s="29" t="n">
        <v>17</v>
      </c>
      <c r="C23" s="29" t="n">
        <v>17070</v>
      </c>
      <c r="D23" s="30" t="n">
        <v>29536.8</v>
      </c>
      <c r="E23" s="29" t="n">
        <v>381582.1</v>
      </c>
      <c r="F23" s="31" t="n">
        <v>0.5167</v>
      </c>
      <c r="G23" s="31" t="n">
        <v>0.161135294117647</v>
      </c>
      <c r="H23" s="32" t="n">
        <v>5.66666666666667</v>
      </c>
      <c r="I23" s="33" t="n">
        <v>1</v>
      </c>
    </row>
    <row r="24" customFormat="false" ht="15" hidden="false" customHeight="false" outlineLevel="0" collapsed="false">
      <c r="A24" s="20" t="s">
        <v>209</v>
      </c>
      <c r="B24" s="29" t="n">
        <v>9</v>
      </c>
      <c r="C24" s="29" t="n">
        <v>9030</v>
      </c>
      <c r="D24" s="30" t="n">
        <v>27024</v>
      </c>
      <c r="E24" s="29" t="n">
        <v>143510</v>
      </c>
      <c r="F24" s="31" t="n">
        <v>0.392466666666667</v>
      </c>
      <c r="G24" s="31" t="n">
        <v>0.110588888888889</v>
      </c>
      <c r="H24" s="32" t="n">
        <v>4.5</v>
      </c>
      <c r="I24" s="33" t="n">
        <v>2</v>
      </c>
    </row>
    <row r="25" customFormat="false" ht="15" hidden="false" customHeight="false" outlineLevel="0" collapsed="false">
      <c r="A25" s="20" t="s">
        <v>210</v>
      </c>
      <c r="B25" s="29" t="n">
        <v>9</v>
      </c>
      <c r="C25" s="29" t="n">
        <v>11335</v>
      </c>
      <c r="D25" s="30" t="n">
        <v>20969.75</v>
      </c>
      <c r="E25" s="29" t="n">
        <v>217405.3</v>
      </c>
      <c r="F25" s="31" t="n">
        <v>0.480222222222222</v>
      </c>
      <c r="G25" s="31" t="n">
        <v>0.123044444444444</v>
      </c>
      <c r="H25" s="32" t="n">
        <v>9</v>
      </c>
      <c r="I25" s="33" t="n">
        <v>1</v>
      </c>
    </row>
    <row r="26" customFormat="false" ht="15" hidden="false" customHeight="false" outlineLevel="0" collapsed="false">
      <c r="A26" s="20" t="s">
        <v>211</v>
      </c>
      <c r="B26" s="29" t="n">
        <v>6</v>
      </c>
      <c r="C26" s="29" t="n">
        <v>5350</v>
      </c>
      <c r="D26" s="30" t="n">
        <v>17560</v>
      </c>
      <c r="E26" s="29" t="n">
        <v>116732</v>
      </c>
      <c r="F26" s="31" t="n">
        <v>0.397283333333333</v>
      </c>
      <c r="G26" s="31" t="n">
        <v>0.14125</v>
      </c>
      <c r="H26" s="32" t="n">
        <v>3</v>
      </c>
      <c r="I26" s="33" t="n">
        <v>2</v>
      </c>
    </row>
    <row r="27" customFormat="false" ht="15" hidden="false" customHeight="false" outlineLevel="0" collapsed="false">
      <c r="A27" s="20" t="s">
        <v>212</v>
      </c>
      <c r="B27" s="29" t="n">
        <v>11</v>
      </c>
      <c r="C27" s="29" t="n">
        <v>24420</v>
      </c>
      <c r="D27" s="30" t="n">
        <v>9157.5</v>
      </c>
      <c r="E27" s="29" t="n">
        <v>200976.6</v>
      </c>
      <c r="F27" s="31" t="n">
        <v>0.574495524831153</v>
      </c>
      <c r="G27" s="31" t="n">
        <v>0.118194855404494</v>
      </c>
      <c r="H27" s="32" t="n">
        <v>11</v>
      </c>
      <c r="I27" s="33" t="n">
        <v>1</v>
      </c>
    </row>
    <row r="28" customFormat="false" ht="15" hidden="false" customHeight="false" outlineLevel="0" collapsed="false">
      <c r="A28" s="20" t="s">
        <v>213</v>
      </c>
      <c r="B28" s="29" t="n">
        <v>1</v>
      </c>
      <c r="C28" s="29" t="n">
        <v>350</v>
      </c>
      <c r="D28" s="30" t="n">
        <v>731.5</v>
      </c>
      <c r="E28" s="29" t="n">
        <v>7927.5</v>
      </c>
      <c r="F28" s="31" t="n">
        <v>0.1517</v>
      </c>
      <c r="G28" s="31" t="n">
        <v>0.1304</v>
      </c>
      <c r="H28" s="32" t="n">
        <v>1</v>
      </c>
      <c r="I28" s="33" t="n">
        <v>1</v>
      </c>
    </row>
    <row r="29" customFormat="false" ht="15" hidden="false" customHeight="false" outlineLevel="0" collapsed="false">
      <c r="A29" s="20" t="s">
        <v>214</v>
      </c>
      <c r="B29" s="29" t="n">
        <v>4</v>
      </c>
      <c r="C29" s="29" t="n">
        <v>4780</v>
      </c>
      <c r="D29" s="30" t="n">
        <v>0</v>
      </c>
      <c r="E29" s="29" t="n">
        <v>90891.3</v>
      </c>
      <c r="F29" s="31" t="n">
        <v>0.4209</v>
      </c>
      <c r="G29" s="31" t="n">
        <v>0.122425</v>
      </c>
      <c r="H29" s="32" t="n">
        <v>1</v>
      </c>
      <c r="I29" s="33" t="n">
        <v>1</v>
      </c>
    </row>
    <row r="30" customFormat="false" ht="15" hidden="false" customHeight="false" outlineLevel="0" collapsed="false">
      <c r="A30" s="34" t="s">
        <v>215</v>
      </c>
      <c r="B30" s="35" t="n">
        <f aca="false">SUM(B5:B29)</f>
        <v>9066</v>
      </c>
      <c r="C30" s="35" t="n">
        <f aca="false">SUM(C5:C29)</f>
        <v>13850314.4945408</v>
      </c>
      <c r="D30" s="36" t="n">
        <f aca="false">SUM(D5:D29)</f>
        <v>23247582.236955</v>
      </c>
      <c r="E30" s="35" t="n">
        <f aca="false">SUM(E5:E29)</f>
        <v>278034926.783619</v>
      </c>
    </row>
    <row r="32" customFormat="false" ht="15" hidden="false" customHeight="false" outlineLevel="0" collapsed="false">
      <c r="A32" s="37" t="s">
        <v>216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14" min="9" style="0" width="10"/>
    <col collapsed="false" customWidth="true" hidden="false" outlineLevel="0" max="20" min="15" style="0" width="11"/>
    <col collapsed="false" customWidth="true" hidden="false" outlineLevel="0" max="21" min="21" style="0" width="10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7"/>
    <col collapsed="false" customWidth="true" hidden="false" outlineLevel="0" max="27" min="27" style="0" width="13"/>
  </cols>
  <sheetData>
    <row r="1" customFormat="false" ht="25.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5" hidden="false" customHeight="false" outlineLevel="0" collapsed="false">
      <c r="C3" s="38" t="s">
        <v>219</v>
      </c>
      <c r="D3" s="38"/>
      <c r="E3" s="38"/>
      <c r="F3" s="38"/>
      <c r="G3" s="38"/>
      <c r="H3" s="38"/>
      <c r="I3" s="39" t="s">
        <v>220</v>
      </c>
      <c r="J3" s="39"/>
      <c r="K3" s="39"/>
      <c r="L3" s="39"/>
      <c r="M3" s="39"/>
      <c r="N3" s="39"/>
      <c r="O3" s="40" t="s">
        <v>221</v>
      </c>
      <c r="P3" s="40"/>
      <c r="Q3" s="40"/>
      <c r="R3" s="40"/>
      <c r="S3" s="40"/>
      <c r="T3" s="40"/>
      <c r="U3" s="41" t="s">
        <v>222</v>
      </c>
      <c r="V3" s="41"/>
      <c r="W3" s="41"/>
      <c r="X3" s="41"/>
      <c r="Y3" s="41"/>
      <c r="Z3" s="41"/>
    </row>
    <row r="4" customFormat="false" ht="42" hidden="false" customHeight="true" outlineLevel="0" collapsed="false">
      <c r="A4" s="3" t="s">
        <v>181</v>
      </c>
      <c r="B4" s="3" t="s">
        <v>182</v>
      </c>
      <c r="C4" s="3" t="s">
        <v>26</v>
      </c>
      <c r="D4" s="3" t="s">
        <v>30</v>
      </c>
      <c r="E4" s="3" t="s">
        <v>223</v>
      </c>
      <c r="F4" s="3" t="s">
        <v>166</v>
      </c>
      <c r="G4" s="3" t="s">
        <v>224</v>
      </c>
      <c r="H4" s="3" t="s">
        <v>225</v>
      </c>
      <c r="I4" s="3" t="s">
        <v>38</v>
      </c>
      <c r="J4" s="3" t="s">
        <v>42</v>
      </c>
      <c r="K4" s="3" t="s">
        <v>46</v>
      </c>
      <c r="L4" s="3" t="s">
        <v>50</v>
      </c>
      <c r="M4" s="3" t="s">
        <v>54</v>
      </c>
      <c r="N4" s="3" t="s">
        <v>58</v>
      </c>
      <c r="O4" s="3" t="s">
        <v>226</v>
      </c>
      <c r="P4" s="3" t="s">
        <v>227</v>
      </c>
      <c r="Q4" s="3" t="s">
        <v>228</v>
      </c>
      <c r="R4" s="3" t="s">
        <v>229</v>
      </c>
      <c r="S4" s="3" t="s">
        <v>230</v>
      </c>
      <c r="T4" s="3" t="s">
        <v>231</v>
      </c>
      <c r="U4" s="3" t="s">
        <v>232</v>
      </c>
      <c r="V4" s="3" t="s">
        <v>66</v>
      </c>
      <c r="W4" s="3" t="s">
        <v>233</v>
      </c>
      <c r="X4" s="3" t="s">
        <v>234</v>
      </c>
      <c r="Y4" s="3" t="s">
        <v>235</v>
      </c>
      <c r="Z4" s="3" t="s">
        <v>236</v>
      </c>
      <c r="AA4" s="3" t="s">
        <v>184</v>
      </c>
    </row>
    <row r="5" customFormat="false" ht="15" hidden="false" customHeight="false" outlineLevel="0" collapsed="false">
      <c r="A5" s="4" t="str">
        <f aca="false">'BUYER DATA'!A5</f>
        <v>ZARA</v>
      </c>
      <c r="B5" s="29" t="n">
        <f aca="false">'BUYER DATA'!B5</f>
        <v>2476</v>
      </c>
      <c r="C5" s="30" t="n">
        <f aca="false">'BUYER DATA'!D5/'BUYER DATA'!B5</f>
        <v>2911.32279886914</v>
      </c>
      <c r="D5" s="31" t="n">
        <f aca="false">'BUYER DATA'!D5/'BUYER DATA'!$D$30</f>
        <v>0.310072470183212</v>
      </c>
      <c r="E5" s="42" t="n">
        <f aca="false">'BUYER DATA'!D5/'BUYER DATA'!E5</f>
        <v>0.0873463832502281</v>
      </c>
      <c r="F5" s="31" t="n">
        <f aca="false">'BUYER DATA'!F5</f>
        <v>0.744756129831426</v>
      </c>
      <c r="G5" s="31" t="n">
        <f aca="false">'BUYER DATA'!G5</f>
        <v>0.13858872931753</v>
      </c>
      <c r="H5" s="32" t="n">
        <f aca="false">'BUYER DATA'!H5</f>
        <v>10.7652173913044</v>
      </c>
      <c r="I5" s="32" t="n">
        <f aca="false">MIN(100,C5/INPUTS!$B$5*100)</f>
        <v>100</v>
      </c>
      <c r="J5" s="32" t="n">
        <f aca="false">MIN(100,D5/INPUTS!$B$6*100)</f>
        <v>100</v>
      </c>
      <c r="K5" s="32" t="n">
        <f aca="false">MIN(100,E5/INPUTS!$B$7*100)</f>
        <v>100</v>
      </c>
      <c r="L5" s="32" t="n">
        <f aca="false">MIN(100,F5/INPUTS!$B$8*100)</f>
        <v>93.0945162289282</v>
      </c>
      <c r="M5" s="32" t="n">
        <f aca="false">IF(G5&gt;0,MIN(100,INPUTS!$B$9/G5*100),100)</f>
        <v>72.1559397307724</v>
      </c>
      <c r="N5" s="32" t="n">
        <f aca="false">MIN(100,H5/INPUTS!$B$10*100)</f>
        <v>100</v>
      </c>
      <c r="O5" s="32" t="n">
        <f aca="false">I5*INPUTS!$D$5</f>
        <v>30</v>
      </c>
      <c r="P5" s="32" t="n">
        <f aca="false">J5*INPUTS!$D$6</f>
        <v>20</v>
      </c>
      <c r="Q5" s="32" t="n">
        <f aca="false">K5*INPUTS!$D$7</f>
        <v>20</v>
      </c>
      <c r="R5" s="32" t="n">
        <f aca="false">L5*INPUTS!$D$8</f>
        <v>13.9641774343392</v>
      </c>
      <c r="S5" s="32" t="n">
        <f aca="false">M5*INPUTS!$D$9</f>
        <v>7.21559397307724</v>
      </c>
      <c r="T5" s="32" t="n">
        <f aca="false">N5*INPUTS!$D$10</f>
        <v>5</v>
      </c>
      <c r="U5" s="11" t="n">
        <f aca="false">SUM(O5:T5)</f>
        <v>96.1797714074165</v>
      </c>
      <c r="V5" s="43" t="str">
        <f aca="false">IF(U5&gt;=INPUTS!$B$13,"A",IF(U5&gt;=INPUTS!$B$14,"B",IF(U5&gt;=INPUTS!$B$15,"C","D")))</f>
        <v>A</v>
      </c>
      <c r="W5" s="44" t="str">
        <f aca="false">IF(B5&gt;=INPUTS!$B$16,"RANKED","TRIAL")</f>
        <v>RANKED</v>
      </c>
      <c r="X5" s="45" t="n">
        <f aca="false">IF(W5="RANKED",COUNTIFS($W$5:$W$29,"RANKED",$U$5:$U$29,"&gt;"&amp;U5)+1,"—")</f>
        <v>1</v>
      </c>
      <c r="Y5" s="44" t="n">
        <f aca="false">IF(W5="RANKED",COUNTIFS($W$5:$W$29,"RANKED",$AA$5:$AA$29,"&gt;"&amp;AA5)+1,"—")</f>
        <v>1</v>
      </c>
      <c r="Z5" s="44" t="n">
        <f aca="false">IF(W5="RANKED",Y5-X5,"—")</f>
        <v>0</v>
      </c>
      <c r="AA5" s="30" t="n">
        <f aca="false">'BUYER DATA'!D5</f>
        <v>7208435.25</v>
      </c>
    </row>
    <row r="6" customFormat="false" ht="15" hidden="false" customHeight="false" outlineLevel="0" collapsed="false">
      <c r="A6" s="4" t="str">
        <f aca="false">'BUYER DATA'!A6</f>
        <v>GAP</v>
      </c>
      <c r="B6" s="29" t="n">
        <f aca="false">'BUYER DATA'!B6</f>
        <v>768</v>
      </c>
      <c r="C6" s="30" t="n">
        <f aca="false">'BUYER DATA'!D6/'BUYER DATA'!B6</f>
        <v>3127.93802083333</v>
      </c>
      <c r="D6" s="31" t="n">
        <f aca="false">'BUYER DATA'!D6/'BUYER DATA'!$D$30</f>
        <v>0.103333601555404</v>
      </c>
      <c r="E6" s="42" t="n">
        <f aca="false">'BUYER DATA'!D6/'BUYER DATA'!E6</f>
        <v>0.0990047082882931</v>
      </c>
      <c r="F6" s="31" t="n">
        <f aca="false">'BUYER DATA'!F6</f>
        <v>0.739520389902144</v>
      </c>
      <c r="G6" s="31" t="n">
        <f aca="false">'BUYER DATA'!G6</f>
        <v>0.129768614447869</v>
      </c>
      <c r="H6" s="32" t="n">
        <f aca="false">'BUYER DATA'!H6</f>
        <v>5.22448979591837</v>
      </c>
      <c r="I6" s="32" t="n">
        <f aca="false">MIN(100,C6/INPUTS!$B$5*100)</f>
        <v>100</v>
      </c>
      <c r="J6" s="32" t="n">
        <f aca="false">MIN(100,D6/INPUTS!$B$6*100)</f>
        <v>100</v>
      </c>
      <c r="K6" s="32" t="n">
        <f aca="false">MIN(100,E6/INPUTS!$B$7*100)</f>
        <v>100</v>
      </c>
      <c r="L6" s="32" t="n">
        <f aca="false">MIN(100,F6/INPUTS!$B$8*100)</f>
        <v>92.440048737768</v>
      </c>
      <c r="M6" s="32" t="n">
        <f aca="false">IF(G6&gt;0,MIN(100,INPUTS!$B$9/G6*100),100)</f>
        <v>77.0602355781279</v>
      </c>
      <c r="N6" s="32" t="n">
        <f aca="false">MIN(100,H6/INPUTS!$B$10*100)</f>
        <v>52.2448979591837</v>
      </c>
      <c r="O6" s="32" t="n">
        <f aca="false">I6*INPUTS!$D$5</f>
        <v>30</v>
      </c>
      <c r="P6" s="32" t="n">
        <f aca="false">J6*INPUTS!$D$6</f>
        <v>20</v>
      </c>
      <c r="Q6" s="32" t="n">
        <f aca="false">K6*INPUTS!$D$7</f>
        <v>20</v>
      </c>
      <c r="R6" s="32" t="n">
        <f aca="false">L6*INPUTS!$D$8</f>
        <v>13.8660073106652</v>
      </c>
      <c r="S6" s="32" t="n">
        <f aca="false">M6*INPUTS!$D$9</f>
        <v>7.70602355781279</v>
      </c>
      <c r="T6" s="32" t="n">
        <f aca="false">N6*INPUTS!$D$10</f>
        <v>2.61224489795918</v>
      </c>
      <c r="U6" s="11" t="n">
        <f aca="false">SUM(O6:T6)</f>
        <v>94.1842757664372</v>
      </c>
      <c r="V6" s="43" t="str">
        <f aca="false">IF(U6&gt;=INPUTS!$B$13,"A",IF(U6&gt;=INPUTS!$B$14,"B",IF(U6&gt;=INPUTS!$B$15,"C","D")))</f>
        <v>A</v>
      </c>
      <c r="W6" s="44" t="str">
        <f aca="false">IF(B6&gt;=INPUTS!$B$16,"RANKED","TRIAL")</f>
        <v>RANKED</v>
      </c>
      <c r="X6" s="45" t="n">
        <f aca="false">IF(W6="RANKED",COUNTIFS($W$5:$W$29,"RANKED",$U$5:$U$29,"&gt;"&amp;U6)+1,"—")</f>
        <v>2</v>
      </c>
      <c r="Y6" s="44" t="n">
        <f aca="false">IF(W6="RANKED",COUNTIFS($W$5:$W$29,"RANKED",$AA$5:$AA$29,"&gt;"&amp;AA6)+1,"—")</f>
        <v>3</v>
      </c>
      <c r="Z6" s="44" t="n">
        <f aca="false">IF(W6="RANKED",Y6-X6,"—")</f>
        <v>1</v>
      </c>
      <c r="AA6" s="30" t="n">
        <f aca="false">'BUYER DATA'!D6</f>
        <v>2402256.4</v>
      </c>
    </row>
    <row r="7" customFormat="false" ht="15" hidden="false" customHeight="false" outlineLevel="0" collapsed="false">
      <c r="A7" s="4" t="str">
        <f aca="false">'BUYER DATA'!A7</f>
        <v>OJG</v>
      </c>
      <c r="B7" s="29" t="n">
        <f aca="false">'BUYER DATA'!B7</f>
        <v>2591</v>
      </c>
      <c r="C7" s="30" t="n">
        <f aca="false">'BUYER DATA'!D7/'BUYER DATA'!B7</f>
        <v>2421.55677999034</v>
      </c>
      <c r="D7" s="31" t="n">
        <f aca="false">'BUYER DATA'!D7/'BUYER DATA'!$D$30</f>
        <v>0.269888436268493</v>
      </c>
      <c r="E7" s="42" t="n">
        <f aca="false">'BUYER DATA'!D7/'BUYER DATA'!E7</f>
        <v>0.0796829474222349</v>
      </c>
      <c r="F7" s="31" t="n">
        <f aca="false">'BUYER DATA'!F7</f>
        <v>0.700157951193801</v>
      </c>
      <c r="G7" s="31" t="n">
        <f aca="false">'BUYER DATA'!G7</f>
        <v>0.123750725842212</v>
      </c>
      <c r="H7" s="32" t="n">
        <f aca="false">'BUYER DATA'!H7</f>
        <v>9.88931297709924</v>
      </c>
      <c r="I7" s="32" t="n">
        <f aca="false">MIN(100,C7/INPUTS!$B$5*100)</f>
        <v>96.8622711996137</v>
      </c>
      <c r="J7" s="32" t="n">
        <f aca="false">MIN(100,D7/INPUTS!$B$6*100)</f>
        <v>100</v>
      </c>
      <c r="K7" s="32" t="n">
        <f aca="false">MIN(100,E7/INPUTS!$B$7*100)</f>
        <v>94.5230693027697</v>
      </c>
      <c r="L7" s="32" t="n">
        <f aca="false">MIN(100,F7/INPUTS!$B$8*100)</f>
        <v>87.5197438992251</v>
      </c>
      <c r="M7" s="32" t="n">
        <f aca="false">IF(G7&gt;0,MIN(100,INPUTS!$B$9/G7*100),100)</f>
        <v>80.8076068398215</v>
      </c>
      <c r="N7" s="32" t="n">
        <f aca="false">MIN(100,H7/INPUTS!$B$10*100)</f>
        <v>98.8931297709924</v>
      </c>
      <c r="O7" s="32" t="n">
        <f aca="false">I7*INPUTS!$D$5</f>
        <v>29.0586813598841</v>
      </c>
      <c r="P7" s="32" t="n">
        <f aca="false">J7*INPUTS!$D$6</f>
        <v>20</v>
      </c>
      <c r="Q7" s="32" t="n">
        <f aca="false">K7*INPUTS!$D$7</f>
        <v>18.9046138605539</v>
      </c>
      <c r="R7" s="32" t="n">
        <f aca="false">L7*INPUTS!$D$8</f>
        <v>13.1279615848838</v>
      </c>
      <c r="S7" s="32" t="n">
        <f aca="false">M7*INPUTS!$D$9</f>
        <v>8.08076068398215</v>
      </c>
      <c r="T7" s="32" t="n">
        <f aca="false">N7*INPUTS!$D$10</f>
        <v>4.94465648854962</v>
      </c>
      <c r="U7" s="11" t="n">
        <f aca="false">SUM(O7:T7)</f>
        <v>94.1166739778536</v>
      </c>
      <c r="V7" s="43" t="str">
        <f aca="false">IF(U7&gt;=INPUTS!$B$13,"A",IF(U7&gt;=INPUTS!$B$14,"B",IF(U7&gt;=INPUTS!$B$15,"C","D")))</f>
        <v>A</v>
      </c>
      <c r="W7" s="44" t="str">
        <f aca="false">IF(B7&gt;=INPUTS!$B$16,"RANKED","TRIAL")</f>
        <v>RANKED</v>
      </c>
      <c r="X7" s="45" t="n">
        <f aca="false">IF(W7="RANKED",COUNTIFS($W$5:$W$29,"RANKED",$U$5:$U$29,"&gt;"&amp;U7)+1,"—")</f>
        <v>3</v>
      </c>
      <c r="Y7" s="44" t="n">
        <f aca="false">IF(W7="RANKED",COUNTIFS($W$5:$W$29,"RANKED",$AA$5:$AA$29,"&gt;"&amp;AA7)+1,"—")</f>
        <v>2</v>
      </c>
      <c r="Z7" s="44" t="n">
        <f aca="false">IF(W7="RANKED",Y7-X7,"—")</f>
        <v>-1</v>
      </c>
      <c r="AA7" s="30" t="n">
        <f aca="false">'BUYER DATA'!D7</f>
        <v>6274253.61695498</v>
      </c>
    </row>
    <row r="8" customFormat="false" ht="15" hidden="false" customHeight="false" outlineLevel="0" collapsed="false">
      <c r="A8" s="4" t="str">
        <f aca="false">'BUYER DATA'!A8</f>
        <v>TARGET</v>
      </c>
      <c r="B8" s="29" t="n">
        <f aca="false">'BUYER DATA'!B8</f>
        <v>602</v>
      </c>
      <c r="C8" s="30" t="n">
        <f aca="false">'BUYER DATA'!D8/'BUYER DATA'!B8</f>
        <v>2198.61827242525</v>
      </c>
      <c r="D8" s="31" t="n">
        <f aca="false">'BUYER DATA'!D8/'BUYER DATA'!$D$30</f>
        <v>0.056933585028727</v>
      </c>
      <c r="E8" s="42" t="n">
        <f aca="false">'BUYER DATA'!D8/'BUYER DATA'!E8</f>
        <v>0.0757882324444289</v>
      </c>
      <c r="F8" s="31" t="n">
        <f aca="false">'BUYER DATA'!F8</f>
        <v>0.667599332294948</v>
      </c>
      <c r="G8" s="31" t="n">
        <f aca="false">'BUYER DATA'!G8</f>
        <v>0.116898214961111</v>
      </c>
      <c r="H8" s="32" t="n">
        <f aca="false">'BUYER DATA'!H8</f>
        <v>2.74885844748859</v>
      </c>
      <c r="I8" s="32" t="n">
        <f aca="false">MIN(100,C8/INPUTS!$B$5*100)</f>
        <v>87.94473089701</v>
      </c>
      <c r="J8" s="32" t="n">
        <f aca="false">MIN(100,D8/INPUTS!$B$6*100)</f>
        <v>56.933585028727</v>
      </c>
      <c r="K8" s="32" t="n">
        <f aca="false">MIN(100,E8/INPUTS!$B$7*100)</f>
        <v>89.903004085918</v>
      </c>
      <c r="L8" s="32" t="n">
        <f aca="false">MIN(100,F8/INPUTS!$B$8*100)</f>
        <v>83.4499165368685</v>
      </c>
      <c r="M8" s="32" t="n">
        <f aca="false">IF(G8&gt;0,MIN(100,INPUTS!$B$9/G8*100),100)</f>
        <v>85.5445055626104</v>
      </c>
      <c r="N8" s="32" t="n">
        <f aca="false">MIN(100,H8/INPUTS!$B$10*100)</f>
        <v>27.4885844748859</v>
      </c>
      <c r="O8" s="32" t="n">
        <f aca="false">I8*INPUTS!$D$5</f>
        <v>26.383419269103</v>
      </c>
      <c r="P8" s="32" t="n">
        <f aca="false">J8*INPUTS!$D$6</f>
        <v>11.3867170057454</v>
      </c>
      <c r="Q8" s="32" t="n">
        <f aca="false">K8*INPUTS!$D$7</f>
        <v>17.9806008171836</v>
      </c>
      <c r="R8" s="32" t="n">
        <f aca="false">L8*INPUTS!$D$8</f>
        <v>12.5174874805303</v>
      </c>
      <c r="S8" s="32" t="n">
        <f aca="false">M8*INPUTS!$D$9</f>
        <v>8.55445055626104</v>
      </c>
      <c r="T8" s="32" t="n">
        <f aca="false">N8*INPUTS!$D$10</f>
        <v>1.37442922374429</v>
      </c>
      <c r="U8" s="11" t="n">
        <f aca="false">SUM(O8:T8)</f>
        <v>78.1971043525676</v>
      </c>
      <c r="V8" s="43" t="str">
        <f aca="false">IF(U8&gt;=INPUTS!$B$13,"A",IF(U8&gt;=INPUTS!$B$14,"B",IF(U8&gt;=INPUTS!$B$15,"C","D")))</f>
        <v>B</v>
      </c>
      <c r="W8" s="44" t="str">
        <f aca="false">IF(B8&gt;=INPUTS!$B$16,"RANKED","TRIAL")</f>
        <v>RANKED</v>
      </c>
      <c r="X8" s="45" t="n">
        <f aca="false">IF(W8="RANKED",COUNTIFS($W$5:$W$29,"RANKED",$U$5:$U$29,"&gt;"&amp;U8)+1,"—")</f>
        <v>4</v>
      </c>
      <c r="Y8" s="44" t="n">
        <f aca="false">IF(W8="RANKED",COUNTIFS($W$5:$W$29,"RANKED",$AA$5:$AA$29,"&gt;"&amp;AA8)+1,"—")</f>
        <v>4</v>
      </c>
      <c r="Z8" s="44" t="n">
        <f aca="false">IF(W8="RANKED",Y8-X8,"—")</f>
        <v>0</v>
      </c>
      <c r="AA8" s="30" t="n">
        <f aca="false">'BUYER DATA'!D8</f>
        <v>1323568.2</v>
      </c>
    </row>
    <row r="9" customFormat="false" ht="15" hidden="false" customHeight="false" outlineLevel="0" collapsed="false">
      <c r="A9" s="4" t="str">
        <f aca="false">'BUYER DATA'!A9</f>
        <v>EXPRESS</v>
      </c>
      <c r="B9" s="29" t="n">
        <f aca="false">'BUYER DATA'!B9</f>
        <v>264</v>
      </c>
      <c r="C9" s="30" t="n">
        <f aca="false">'BUYER DATA'!D9/'BUYER DATA'!B9</f>
        <v>3129.61174242424</v>
      </c>
      <c r="D9" s="31" t="n">
        <f aca="false">'BUYER DATA'!D9/'BUYER DATA'!$D$30</f>
        <v>0.035539932349895</v>
      </c>
      <c r="E9" s="42" t="n">
        <f aca="false">'BUYER DATA'!D9/'BUYER DATA'!E9</f>
        <v>0.115736291913524</v>
      </c>
      <c r="F9" s="31" t="n">
        <f aca="false">'BUYER DATA'!F9</f>
        <v>0.646429680808697</v>
      </c>
      <c r="G9" s="31" t="n">
        <f aca="false">'BUYER DATA'!G9</f>
        <v>0.141578962274672</v>
      </c>
      <c r="H9" s="32" t="n">
        <f aca="false">'BUYER DATA'!H9</f>
        <v>2.29565217391304</v>
      </c>
      <c r="I9" s="32" t="n">
        <f aca="false">MIN(100,C9/INPUTS!$B$5*100)</f>
        <v>100</v>
      </c>
      <c r="J9" s="32" t="n">
        <f aca="false">MIN(100,D9/INPUTS!$B$6*100)</f>
        <v>35.539932349895</v>
      </c>
      <c r="K9" s="32" t="n">
        <f aca="false">MIN(100,E9/INPUTS!$B$7*100)</f>
        <v>100</v>
      </c>
      <c r="L9" s="32" t="n">
        <f aca="false">MIN(100,F9/INPUTS!$B$8*100)</f>
        <v>80.8037101010871</v>
      </c>
      <c r="M9" s="32" t="n">
        <f aca="false">IF(G9&gt;0,MIN(100,INPUTS!$B$9/G9*100),100)</f>
        <v>70.6319628236812</v>
      </c>
      <c r="N9" s="32" t="n">
        <f aca="false">MIN(100,H9/INPUTS!$B$10*100)</f>
        <v>22.9565217391304</v>
      </c>
      <c r="O9" s="32" t="n">
        <f aca="false">I9*INPUTS!$D$5</f>
        <v>30</v>
      </c>
      <c r="P9" s="32" t="n">
        <f aca="false">J9*INPUTS!$D$6</f>
        <v>7.10798646997899</v>
      </c>
      <c r="Q9" s="32" t="n">
        <f aca="false">K9*INPUTS!$D$7</f>
        <v>20</v>
      </c>
      <c r="R9" s="32" t="n">
        <f aca="false">L9*INPUTS!$D$8</f>
        <v>12.1205565151631</v>
      </c>
      <c r="S9" s="32" t="n">
        <f aca="false">M9*INPUTS!$D$9</f>
        <v>7.06319628236812</v>
      </c>
      <c r="T9" s="32" t="n">
        <f aca="false">N9*INPUTS!$D$10</f>
        <v>1.14782608695652</v>
      </c>
      <c r="U9" s="11" t="n">
        <f aca="false">SUM(O9:T9)</f>
        <v>77.4395653544667</v>
      </c>
      <c r="V9" s="43" t="str">
        <f aca="false">IF(U9&gt;=INPUTS!$B$13,"A",IF(U9&gt;=INPUTS!$B$14,"B",IF(U9&gt;=INPUTS!$B$15,"C","D")))</f>
        <v>B</v>
      </c>
      <c r="W9" s="44" t="str">
        <f aca="false">IF(B9&gt;=INPUTS!$B$16,"RANKED","TRIAL")</f>
        <v>RANKED</v>
      </c>
      <c r="X9" s="45" t="n">
        <f aca="false">IF(W9="RANKED",COUNTIFS($W$5:$W$29,"RANKED",$U$5:$U$29,"&gt;"&amp;U9)+1,"—")</f>
        <v>5</v>
      </c>
      <c r="Y9" s="44" t="n">
        <f aca="false">IF(W9="RANKED",COUNTIFS($W$5:$W$29,"RANKED",$AA$5:$AA$29,"&gt;"&amp;AA9)+1,"—")</f>
        <v>5</v>
      </c>
      <c r="Z9" s="44" t="n">
        <f aca="false">IF(W9="RANKED",Y9-X9,"—")</f>
        <v>0</v>
      </c>
      <c r="AA9" s="30" t="n">
        <f aca="false">'BUYER DATA'!D9</f>
        <v>826217.5</v>
      </c>
    </row>
    <row r="10" customFormat="false" ht="15" hidden="false" customHeight="false" outlineLevel="0" collapsed="false">
      <c r="A10" s="4" t="str">
        <f aca="false">'BUYER DATA'!A10</f>
        <v>AERO</v>
      </c>
      <c r="B10" s="29" t="n">
        <f aca="false">'BUYER DATA'!B10</f>
        <v>156</v>
      </c>
      <c r="C10" s="30" t="n">
        <f aca="false">'BUYER DATA'!D10/'BUYER DATA'!B10</f>
        <v>2580.02948717949</v>
      </c>
      <c r="D10" s="31" t="n">
        <f aca="false">'BUYER DATA'!D10/'BUYER DATA'!$D$30</f>
        <v>0.017312965963411</v>
      </c>
      <c r="E10" s="42" t="n">
        <f aca="false">'BUYER DATA'!D10/'BUYER DATA'!E10</f>
        <v>0.0952815931046118</v>
      </c>
      <c r="F10" s="31" t="n">
        <f aca="false">'BUYER DATA'!F10</f>
        <v>0.637405745620743</v>
      </c>
      <c r="G10" s="31" t="n">
        <f aca="false">'BUYER DATA'!G10</f>
        <v>0.124163503274834</v>
      </c>
      <c r="H10" s="32" t="n">
        <f aca="false">'BUYER DATA'!H10</f>
        <v>7.8</v>
      </c>
      <c r="I10" s="32" t="n">
        <f aca="false">MIN(100,C10/INPUTS!$B$5*100)</f>
        <v>100</v>
      </c>
      <c r="J10" s="32" t="n">
        <f aca="false">MIN(100,D10/INPUTS!$B$6*100)</f>
        <v>17.312965963411</v>
      </c>
      <c r="K10" s="32" t="n">
        <f aca="false">MIN(100,E10/INPUTS!$B$7*100)</f>
        <v>100</v>
      </c>
      <c r="L10" s="32" t="n">
        <f aca="false">MIN(100,F10/INPUTS!$B$8*100)</f>
        <v>79.6757182025929</v>
      </c>
      <c r="M10" s="32" t="n">
        <f aca="false">IF(G10&gt;0,MIN(100,INPUTS!$B$9/G10*100),100)</f>
        <v>80.5389646413659</v>
      </c>
      <c r="N10" s="32" t="n">
        <f aca="false">MIN(100,H10/INPUTS!$B$10*100)</f>
        <v>78</v>
      </c>
      <c r="O10" s="32" t="n">
        <f aca="false">I10*INPUTS!$D$5</f>
        <v>30</v>
      </c>
      <c r="P10" s="32" t="n">
        <f aca="false">J10*INPUTS!$D$6</f>
        <v>3.4625931926822</v>
      </c>
      <c r="Q10" s="32" t="n">
        <f aca="false">K10*INPUTS!$D$7</f>
        <v>20</v>
      </c>
      <c r="R10" s="32" t="n">
        <f aca="false">L10*INPUTS!$D$8</f>
        <v>11.9513577303889</v>
      </c>
      <c r="S10" s="32" t="n">
        <f aca="false">M10*INPUTS!$D$9</f>
        <v>8.05389646413659</v>
      </c>
      <c r="T10" s="32" t="n">
        <f aca="false">N10*INPUTS!$D$10</f>
        <v>3.9</v>
      </c>
      <c r="U10" s="11" t="n">
        <f aca="false">SUM(O10:T10)</f>
        <v>77.3678473872077</v>
      </c>
      <c r="V10" s="43" t="str">
        <f aca="false">IF(U10&gt;=INPUTS!$B$13,"A",IF(U10&gt;=INPUTS!$B$14,"B",IF(U10&gt;=INPUTS!$B$15,"C","D")))</f>
        <v>B</v>
      </c>
      <c r="W10" s="44" t="str">
        <f aca="false">IF(B10&gt;=INPUTS!$B$16,"RANKED","TRIAL")</f>
        <v>RANKED</v>
      </c>
      <c r="X10" s="45" t="n">
        <f aca="false">IF(W10="RANKED",COUNTIFS($W$5:$W$29,"RANKED",$U$5:$U$29,"&gt;"&amp;U10)+1,"—")</f>
        <v>6</v>
      </c>
      <c r="Y10" s="44" t="n">
        <f aca="false">IF(W10="RANKED",COUNTIFS($W$5:$W$29,"RANKED",$AA$5:$AA$29,"&gt;"&amp;AA10)+1,"—")</f>
        <v>12</v>
      </c>
      <c r="Z10" s="44" t="n">
        <f aca="false">IF(W10="RANKED",Y10-X10,"—")</f>
        <v>6</v>
      </c>
      <c r="AA10" s="30" t="n">
        <f aca="false">'BUYER DATA'!D10</f>
        <v>402484.6</v>
      </c>
    </row>
    <row r="11" customFormat="false" ht="15" hidden="false" customHeight="false" outlineLevel="0" collapsed="false">
      <c r="A11" s="4" t="str">
        <f aca="false">'BUYER DATA'!A11</f>
        <v>SOLAMODA</v>
      </c>
      <c r="B11" s="29" t="n">
        <f aca="false">'BUYER DATA'!B11</f>
        <v>364</v>
      </c>
      <c r="C11" s="30" t="n">
        <f aca="false">'BUYER DATA'!D11/'BUYER DATA'!B11</f>
        <v>2231.74835164835</v>
      </c>
      <c r="D11" s="31" t="n">
        <f aca="false">'BUYER DATA'!D11/'BUYER DATA'!$D$30</f>
        <v>0.0349436940030975</v>
      </c>
      <c r="E11" s="42" t="n">
        <f aca="false">'BUYER DATA'!D11/'BUYER DATA'!E11</f>
        <v>0.0673503765572295</v>
      </c>
      <c r="F11" s="31" t="n">
        <f aca="false">'BUYER DATA'!F11</f>
        <v>0.705532199765932</v>
      </c>
      <c r="G11" s="31" t="n">
        <f aca="false">'BUYER DATA'!G11</f>
        <v>0.131106522211397</v>
      </c>
      <c r="H11" s="32" t="n">
        <f aca="false">'BUYER DATA'!H11</f>
        <v>11.741935483871</v>
      </c>
      <c r="I11" s="32" t="n">
        <f aca="false">MIN(100,C11/INPUTS!$B$5*100)</f>
        <v>89.2699340659341</v>
      </c>
      <c r="J11" s="32" t="n">
        <f aca="false">MIN(100,D11/INPUTS!$B$6*100)</f>
        <v>34.9436940030975</v>
      </c>
      <c r="K11" s="32" t="n">
        <f aca="false">MIN(100,E11/INPUTS!$B$7*100)</f>
        <v>79.8936851212687</v>
      </c>
      <c r="L11" s="32" t="n">
        <f aca="false">MIN(100,F11/INPUTS!$B$8*100)</f>
        <v>88.1915249707415</v>
      </c>
      <c r="M11" s="32" t="n">
        <f aca="false">IF(G11&gt;0,MIN(100,INPUTS!$B$9/G11*100),100)</f>
        <v>76.2738560319367</v>
      </c>
      <c r="N11" s="32" t="n">
        <f aca="false">MIN(100,H11/INPUTS!$B$10*100)</f>
        <v>100</v>
      </c>
      <c r="O11" s="32" t="n">
        <f aca="false">I11*INPUTS!$D$5</f>
        <v>26.7809802197802</v>
      </c>
      <c r="P11" s="32" t="n">
        <f aca="false">J11*INPUTS!$D$6</f>
        <v>6.9887388006195</v>
      </c>
      <c r="Q11" s="32" t="n">
        <f aca="false">K11*INPUTS!$D$7</f>
        <v>15.9787370242537</v>
      </c>
      <c r="R11" s="32" t="n">
        <f aca="false">L11*INPUTS!$D$8</f>
        <v>13.2287287456112</v>
      </c>
      <c r="S11" s="32" t="n">
        <f aca="false">M11*INPUTS!$D$9</f>
        <v>7.62738560319367</v>
      </c>
      <c r="T11" s="32" t="n">
        <f aca="false">N11*INPUTS!$D$10</f>
        <v>5</v>
      </c>
      <c r="U11" s="11" t="n">
        <f aca="false">SUM(O11:T11)</f>
        <v>75.6045703934584</v>
      </c>
      <c r="V11" s="43" t="str">
        <f aca="false">IF(U11&gt;=INPUTS!$B$13,"A",IF(U11&gt;=INPUTS!$B$14,"B",IF(U11&gt;=INPUTS!$B$15,"C","D")))</f>
        <v>B</v>
      </c>
      <c r="W11" s="44" t="str">
        <f aca="false">IF(B11&gt;=INPUTS!$B$16,"RANKED","TRIAL")</f>
        <v>RANKED</v>
      </c>
      <c r="X11" s="45" t="n">
        <f aca="false">IF(W11="RANKED",COUNTIFS($W$5:$W$29,"RANKED",$U$5:$U$29,"&gt;"&amp;U11)+1,"—")</f>
        <v>7</v>
      </c>
      <c r="Y11" s="44" t="n">
        <f aca="false">IF(W11="RANKED",COUNTIFS($W$5:$W$29,"RANKED",$AA$5:$AA$29,"&gt;"&amp;AA11)+1,"—")</f>
        <v>6</v>
      </c>
      <c r="Z11" s="44" t="n">
        <f aca="false">IF(W11="RANKED",Y11-X11,"—")</f>
        <v>-1</v>
      </c>
      <c r="AA11" s="30" t="n">
        <f aca="false">'BUYER DATA'!D11</f>
        <v>812356.4</v>
      </c>
    </row>
    <row r="12" customFormat="false" ht="15" hidden="false" customHeight="false" outlineLevel="0" collapsed="false">
      <c r="A12" s="4" t="str">
        <f aca="false">'BUYER DATA'!A12</f>
        <v>IMPLUSE</v>
      </c>
      <c r="B12" s="29" t="n">
        <f aca="false">'BUYER DATA'!B12</f>
        <v>180</v>
      </c>
      <c r="C12" s="30" t="n">
        <f aca="false">'BUYER DATA'!D12/'BUYER DATA'!B12</f>
        <v>2290.35555555556</v>
      </c>
      <c r="D12" s="31" t="n">
        <f aca="false">'BUYER DATA'!D12/'BUYER DATA'!$D$30</f>
        <v>0.0177336290629248</v>
      </c>
      <c r="E12" s="42" t="n">
        <f aca="false">'BUYER DATA'!D12/'BUYER DATA'!E12</f>
        <v>0.0812764902334408</v>
      </c>
      <c r="F12" s="31" t="n">
        <f aca="false">'BUYER DATA'!F12</f>
        <v>0.628498724005994</v>
      </c>
      <c r="G12" s="31" t="n">
        <f aca="false">'BUYER DATA'!G12</f>
        <v>0.108621333948937</v>
      </c>
      <c r="H12" s="32" t="n">
        <f aca="false">'BUYER DATA'!H12</f>
        <v>8.57142857142857</v>
      </c>
      <c r="I12" s="32" t="n">
        <f aca="false">MIN(100,C12/INPUTS!$B$5*100)</f>
        <v>91.6142222222222</v>
      </c>
      <c r="J12" s="32" t="n">
        <f aca="false">MIN(100,D12/INPUTS!$B$6*100)</f>
        <v>17.7336290629248</v>
      </c>
      <c r="K12" s="32" t="n">
        <f aca="false">MIN(100,E12/INPUTS!$B$7*100)</f>
        <v>96.4133929222311</v>
      </c>
      <c r="L12" s="32" t="n">
        <f aca="false">MIN(100,F12/INPUTS!$B$8*100)</f>
        <v>78.5623405007492</v>
      </c>
      <c r="M12" s="32" t="n">
        <f aca="false">IF(G12&gt;0,MIN(100,INPUTS!$B$9/G12*100),100)</f>
        <v>92.0629459835301</v>
      </c>
      <c r="N12" s="32" t="n">
        <f aca="false">MIN(100,H12/INPUTS!$B$10*100)</f>
        <v>85.7142857142857</v>
      </c>
      <c r="O12" s="32" t="n">
        <f aca="false">I12*INPUTS!$D$5</f>
        <v>27.4842666666667</v>
      </c>
      <c r="P12" s="32" t="n">
        <f aca="false">J12*INPUTS!$D$6</f>
        <v>3.54672581258497</v>
      </c>
      <c r="Q12" s="32" t="n">
        <f aca="false">K12*INPUTS!$D$7</f>
        <v>19.2826785844462</v>
      </c>
      <c r="R12" s="32" t="n">
        <f aca="false">L12*INPUTS!$D$8</f>
        <v>11.7843510751124</v>
      </c>
      <c r="S12" s="32" t="n">
        <f aca="false">M12*INPUTS!$D$9</f>
        <v>9.20629459835301</v>
      </c>
      <c r="T12" s="32" t="n">
        <f aca="false">N12*INPUTS!$D$10</f>
        <v>4.28571428571429</v>
      </c>
      <c r="U12" s="11" t="n">
        <f aca="false">SUM(O12:T12)</f>
        <v>75.5900310228775</v>
      </c>
      <c r="V12" s="43" t="str">
        <f aca="false">IF(U12&gt;=INPUTS!$B$13,"A",IF(U12&gt;=INPUTS!$B$14,"B",IF(U12&gt;=INPUTS!$B$15,"C","D")))</f>
        <v>B</v>
      </c>
      <c r="W12" s="44" t="str">
        <f aca="false">IF(B12&gt;=INPUTS!$B$16,"RANKED","TRIAL")</f>
        <v>RANKED</v>
      </c>
      <c r="X12" s="45" t="n">
        <f aca="false">IF(W12="RANKED",COUNTIFS($W$5:$W$29,"RANKED",$U$5:$U$29,"&gt;"&amp;U12)+1,"—")</f>
        <v>8</v>
      </c>
      <c r="Y12" s="44" t="n">
        <f aca="false">IF(W12="RANKED",COUNTIFS($W$5:$W$29,"RANKED",$AA$5:$AA$29,"&gt;"&amp;AA12)+1,"—")</f>
        <v>11</v>
      </c>
      <c r="Z12" s="44" t="n">
        <f aca="false">IF(W12="RANKED",Y12-X12,"—")</f>
        <v>3</v>
      </c>
      <c r="AA12" s="30" t="n">
        <f aca="false">'BUYER DATA'!D12</f>
        <v>412264</v>
      </c>
    </row>
    <row r="13" customFormat="false" ht="15" hidden="false" customHeight="false" outlineLevel="0" collapsed="false">
      <c r="A13" s="4" t="str">
        <f aca="false">'BUYER DATA'!A13</f>
        <v>NOBLE</v>
      </c>
      <c r="B13" s="29" t="n">
        <f aca="false">'BUYER DATA'!B13</f>
        <v>252</v>
      </c>
      <c r="C13" s="30" t="n">
        <f aca="false">'BUYER DATA'!D13/'BUYER DATA'!B13</f>
        <v>2689.96285714286</v>
      </c>
      <c r="D13" s="31" t="n">
        <f aca="false">'BUYER DATA'!D13/'BUYER DATA'!$D$30</f>
        <v>0.0291587586653393</v>
      </c>
      <c r="E13" s="42" t="n">
        <f aca="false">'BUYER DATA'!D13/'BUYER DATA'!E13</f>
        <v>0.117975682468804</v>
      </c>
      <c r="F13" s="31" t="n">
        <f aca="false">'BUYER DATA'!F13</f>
        <v>0.548262445573875</v>
      </c>
      <c r="G13" s="31" t="n">
        <f aca="false">'BUYER DATA'!G13</f>
        <v>0.175343571153971</v>
      </c>
      <c r="H13" s="32" t="n">
        <f aca="false">'BUYER DATA'!H13</f>
        <v>6</v>
      </c>
      <c r="I13" s="32" t="n">
        <f aca="false">MIN(100,C13/INPUTS!$B$5*100)</f>
        <v>100</v>
      </c>
      <c r="J13" s="32" t="n">
        <f aca="false">MIN(100,D13/INPUTS!$B$6*100)</f>
        <v>29.1587586653393</v>
      </c>
      <c r="K13" s="32" t="n">
        <f aca="false">MIN(100,E13/INPUTS!$B$7*100)</f>
        <v>100</v>
      </c>
      <c r="L13" s="32" t="n">
        <f aca="false">MIN(100,F13/INPUTS!$B$8*100)</f>
        <v>68.5328056967344</v>
      </c>
      <c r="M13" s="32" t="n">
        <f aca="false">IF(G13&gt;0,MIN(100,INPUTS!$B$9/G13*100),100)</f>
        <v>57.0308904637223</v>
      </c>
      <c r="N13" s="32" t="n">
        <f aca="false">MIN(100,H13/INPUTS!$B$10*100)</f>
        <v>60</v>
      </c>
      <c r="O13" s="32" t="n">
        <f aca="false">I13*INPUTS!$D$5</f>
        <v>30</v>
      </c>
      <c r="P13" s="32" t="n">
        <f aca="false">J13*INPUTS!$D$6</f>
        <v>5.83175173306787</v>
      </c>
      <c r="Q13" s="32" t="n">
        <f aca="false">K13*INPUTS!$D$7</f>
        <v>20</v>
      </c>
      <c r="R13" s="32" t="n">
        <f aca="false">L13*INPUTS!$D$8</f>
        <v>10.2799208545102</v>
      </c>
      <c r="S13" s="32" t="n">
        <f aca="false">M13*INPUTS!$D$9</f>
        <v>5.70308904637223</v>
      </c>
      <c r="T13" s="32" t="n">
        <f aca="false">N13*INPUTS!$D$10</f>
        <v>3</v>
      </c>
      <c r="U13" s="11" t="n">
        <f aca="false">SUM(O13:T13)</f>
        <v>74.8147616339503</v>
      </c>
      <c r="V13" s="43" t="str">
        <f aca="false">IF(U13&gt;=INPUTS!$B$13,"A",IF(U13&gt;=INPUTS!$B$14,"B",IF(U13&gt;=INPUTS!$B$15,"C","D")))</f>
        <v>C</v>
      </c>
      <c r="W13" s="44" t="str">
        <f aca="false">IF(B13&gt;=INPUTS!$B$16,"RANKED","TRIAL")</f>
        <v>RANKED</v>
      </c>
      <c r="X13" s="45" t="n">
        <f aca="false">IF(W13="RANKED",COUNTIFS($W$5:$W$29,"RANKED",$U$5:$U$29,"&gt;"&amp;U13)+1,"—")</f>
        <v>9</v>
      </c>
      <c r="Y13" s="44" t="n">
        <f aca="false">IF(W13="RANKED",COUNTIFS($W$5:$W$29,"RANKED",$AA$5:$AA$29,"&gt;"&amp;AA13)+1,"—")</f>
        <v>7</v>
      </c>
      <c r="Z13" s="44" t="n">
        <f aca="false">IF(W13="RANKED",Y13-X13,"—")</f>
        <v>-2</v>
      </c>
      <c r="AA13" s="30" t="n">
        <f aca="false">'BUYER DATA'!D13</f>
        <v>677870.64</v>
      </c>
    </row>
    <row r="14" customFormat="false" ht="15" hidden="false" customHeight="false" outlineLevel="0" collapsed="false">
      <c r="A14" s="4" t="str">
        <f aca="false">'BUYER DATA'!A14</f>
        <v>KMART</v>
      </c>
      <c r="B14" s="29" t="n">
        <f aca="false">'BUYER DATA'!B14</f>
        <v>297</v>
      </c>
      <c r="C14" s="30" t="n">
        <f aca="false">'BUYER DATA'!D14/'BUYER DATA'!B14</f>
        <v>2212.29966329966</v>
      </c>
      <c r="D14" s="31" t="n">
        <f aca="false">'BUYER DATA'!D14/'BUYER DATA'!$D$30</f>
        <v>0.0282632831794238</v>
      </c>
      <c r="E14" s="42" t="n">
        <f aca="false">'BUYER DATA'!D14/'BUYER DATA'!E14</f>
        <v>0.0709626609909757</v>
      </c>
      <c r="F14" s="31" t="n">
        <f aca="false">'BUYER DATA'!F14</f>
        <v>0.681773174563968</v>
      </c>
      <c r="G14" s="31" t="n">
        <f aca="false">'BUYER DATA'!G14</f>
        <v>0.128006786188539</v>
      </c>
      <c r="H14" s="32" t="n">
        <f aca="false">'BUYER DATA'!H14</f>
        <v>14.85</v>
      </c>
      <c r="I14" s="32" t="n">
        <f aca="false">MIN(100,C14/INPUTS!$B$5*100)</f>
        <v>88.4919865319865</v>
      </c>
      <c r="J14" s="32" t="n">
        <f aca="false">MIN(100,D14/INPUTS!$B$6*100)</f>
        <v>28.2632831794238</v>
      </c>
      <c r="K14" s="32" t="n">
        <f aca="false">MIN(100,E14/INPUTS!$B$7*100)</f>
        <v>84.1787200367446</v>
      </c>
      <c r="L14" s="32" t="n">
        <f aca="false">MIN(100,F14/INPUTS!$B$8*100)</f>
        <v>85.2216468204961</v>
      </c>
      <c r="M14" s="32" t="n">
        <f aca="false">IF(G14&gt;0,MIN(100,INPUTS!$B$9/G14*100),100)</f>
        <v>78.1208582588048</v>
      </c>
      <c r="N14" s="32" t="n">
        <f aca="false">MIN(100,H14/INPUTS!$B$10*100)</f>
        <v>100</v>
      </c>
      <c r="O14" s="32" t="n">
        <f aca="false">I14*INPUTS!$D$5</f>
        <v>26.547595959596</v>
      </c>
      <c r="P14" s="32" t="n">
        <f aca="false">J14*INPUTS!$D$6</f>
        <v>5.65265663588475</v>
      </c>
      <c r="Q14" s="32" t="n">
        <f aca="false">K14*INPUTS!$D$7</f>
        <v>16.8357440073489</v>
      </c>
      <c r="R14" s="32" t="n">
        <f aca="false">L14*INPUTS!$D$8</f>
        <v>12.7832470230744</v>
      </c>
      <c r="S14" s="32" t="n">
        <f aca="false">M14*INPUTS!$D$9</f>
        <v>7.81208582588048</v>
      </c>
      <c r="T14" s="32" t="n">
        <f aca="false">N14*INPUTS!$D$10</f>
        <v>5</v>
      </c>
      <c r="U14" s="11" t="n">
        <f aca="false">SUM(O14:T14)</f>
        <v>74.6313294517845</v>
      </c>
      <c r="V14" s="43" t="str">
        <f aca="false">IF(U14&gt;=INPUTS!$B$13,"A",IF(U14&gt;=INPUTS!$B$14,"B",IF(U14&gt;=INPUTS!$B$15,"C","D")))</f>
        <v>C</v>
      </c>
      <c r="W14" s="44" t="str">
        <f aca="false">IF(B14&gt;=INPUTS!$B$16,"RANKED","TRIAL")</f>
        <v>RANKED</v>
      </c>
      <c r="X14" s="45" t="n">
        <f aca="false">IF(W14="RANKED",COUNTIFS($W$5:$W$29,"RANKED",$U$5:$U$29,"&gt;"&amp;U14)+1,"—")</f>
        <v>10</v>
      </c>
      <c r="Y14" s="44" t="n">
        <f aca="false">IF(W14="RANKED",COUNTIFS($W$5:$W$29,"RANKED",$AA$5:$AA$29,"&gt;"&amp;AA14)+1,"—")</f>
        <v>8</v>
      </c>
      <c r="Z14" s="44" t="n">
        <f aca="false">IF(W14="RANKED",Y14-X14,"—")</f>
        <v>-2</v>
      </c>
      <c r="AA14" s="30" t="n">
        <f aca="false">'BUYER DATA'!D14</f>
        <v>657053</v>
      </c>
    </row>
    <row r="15" customFormat="false" ht="15" hidden="false" customHeight="false" outlineLevel="0" collapsed="false">
      <c r="A15" s="4" t="str">
        <f aca="false">'BUYER DATA'!A15</f>
        <v>NEW YORKER</v>
      </c>
      <c r="B15" s="29" t="n">
        <f aca="false">'BUYER DATA'!B15</f>
        <v>113</v>
      </c>
      <c r="C15" s="30" t="n">
        <f aca="false">'BUYER DATA'!D15/'BUYER DATA'!B15</f>
        <v>2284.46194690265</v>
      </c>
      <c r="D15" s="31" t="n">
        <f aca="false">'BUYER DATA'!D15/'BUYER DATA'!$D$30</f>
        <v>0.0111041310605473</v>
      </c>
      <c r="E15" s="42" t="n">
        <f aca="false">'BUYER DATA'!D15/'BUYER DATA'!E15</f>
        <v>0.0720856242872606</v>
      </c>
      <c r="F15" s="31" t="n">
        <f aca="false">'BUYER DATA'!F15</f>
        <v>0.68071529137513</v>
      </c>
      <c r="G15" s="31" t="n">
        <f aca="false">'BUYER DATA'!G15</f>
        <v>0.121042275698037</v>
      </c>
      <c r="H15" s="32" t="n">
        <f aca="false">'BUYER DATA'!H15</f>
        <v>14.125</v>
      </c>
      <c r="I15" s="32" t="n">
        <f aca="false">MIN(100,C15/INPUTS!$B$5*100)</f>
        <v>91.3784778761062</v>
      </c>
      <c r="J15" s="32" t="n">
        <f aca="false">MIN(100,D15/INPUTS!$B$6*100)</f>
        <v>11.1041310605473</v>
      </c>
      <c r="K15" s="32" t="n">
        <f aca="false">MIN(100,E15/INPUTS!$B$7*100)</f>
        <v>85.5108235910565</v>
      </c>
      <c r="L15" s="32" t="n">
        <f aca="false">MIN(100,F15/INPUTS!$B$8*100)</f>
        <v>85.0894114218913</v>
      </c>
      <c r="M15" s="32" t="n">
        <f aca="false">IF(G15&gt;0,MIN(100,INPUTS!$B$9/G15*100),100)</f>
        <v>82.6157633135294</v>
      </c>
      <c r="N15" s="32" t="n">
        <f aca="false">MIN(100,H15/INPUTS!$B$10*100)</f>
        <v>100</v>
      </c>
      <c r="O15" s="32" t="n">
        <f aca="false">I15*INPUTS!$D$5</f>
        <v>27.4135433628319</v>
      </c>
      <c r="P15" s="32" t="n">
        <f aca="false">J15*INPUTS!$D$6</f>
        <v>2.22082621210946</v>
      </c>
      <c r="Q15" s="32" t="n">
        <f aca="false">K15*INPUTS!$D$7</f>
        <v>17.1021647182113</v>
      </c>
      <c r="R15" s="32" t="n">
        <f aca="false">L15*INPUTS!$D$8</f>
        <v>12.7634117132837</v>
      </c>
      <c r="S15" s="32" t="n">
        <f aca="false">M15*INPUTS!$D$9</f>
        <v>8.26157633135294</v>
      </c>
      <c r="T15" s="32" t="n">
        <f aca="false">N15*INPUTS!$D$10</f>
        <v>5</v>
      </c>
      <c r="U15" s="11" t="n">
        <f aca="false">SUM(O15:T15)</f>
        <v>72.7615223377892</v>
      </c>
      <c r="V15" s="43" t="str">
        <f aca="false">IF(U15&gt;=INPUTS!$B$13,"A",IF(U15&gt;=INPUTS!$B$14,"B",IF(U15&gt;=INPUTS!$B$15,"C","D")))</f>
        <v>C</v>
      </c>
      <c r="W15" s="44" t="str">
        <f aca="false">IF(B15&gt;=INPUTS!$B$16,"RANKED","TRIAL")</f>
        <v>RANKED</v>
      </c>
      <c r="X15" s="45" t="n">
        <f aca="false">IF(W15="RANKED",COUNTIFS($W$5:$W$29,"RANKED",$U$5:$U$29,"&gt;"&amp;U15)+1,"—")</f>
        <v>11</v>
      </c>
      <c r="Y15" s="44" t="n">
        <f aca="false">IF(W15="RANKED",COUNTIFS($W$5:$W$29,"RANKED",$AA$5:$AA$29,"&gt;"&amp;AA15)+1,"—")</f>
        <v>14</v>
      </c>
      <c r="Z15" s="44" t="n">
        <f aca="false">IF(W15="RANKED",Y15-X15,"—")</f>
        <v>3</v>
      </c>
      <c r="AA15" s="30" t="n">
        <f aca="false">'BUYER DATA'!D15</f>
        <v>258144.2</v>
      </c>
    </row>
    <row r="16" customFormat="false" ht="15" hidden="false" customHeight="false" outlineLevel="0" collapsed="false">
      <c r="A16" s="4" t="str">
        <f aca="false">'BUYER DATA'!A16</f>
        <v>NEXT</v>
      </c>
      <c r="B16" s="29" t="n">
        <f aca="false">'BUYER DATA'!B16</f>
        <v>292</v>
      </c>
      <c r="C16" s="30" t="n">
        <f aca="false">'BUYER DATA'!D16/'BUYER DATA'!B16</f>
        <v>2129.67328767123</v>
      </c>
      <c r="D16" s="31" t="n">
        <f aca="false">'BUYER DATA'!D16/'BUYER DATA'!$D$30</f>
        <v>0.0267496462067125</v>
      </c>
      <c r="E16" s="42" t="n">
        <f aca="false">'BUYER DATA'!D16/'BUYER DATA'!E16</f>
        <v>0.0811542020040646</v>
      </c>
      <c r="F16" s="31" t="n">
        <f aca="false">'BUYER DATA'!F16</f>
        <v>0.612387501149415</v>
      </c>
      <c r="G16" s="31" t="n">
        <f aca="false">'BUYER DATA'!G16</f>
        <v>0.140849242627748</v>
      </c>
      <c r="H16" s="32" t="n">
        <f aca="false">'BUYER DATA'!H16</f>
        <v>4.49230769230769</v>
      </c>
      <c r="I16" s="32" t="n">
        <f aca="false">MIN(100,C16/INPUTS!$B$5*100)</f>
        <v>85.1869315068493</v>
      </c>
      <c r="J16" s="32" t="n">
        <f aca="false">MIN(100,D16/INPUTS!$B$6*100)</f>
        <v>26.7496462067125</v>
      </c>
      <c r="K16" s="32" t="n">
        <f aca="false">MIN(100,E16/INPUTS!$B$7*100)</f>
        <v>96.2683297794361</v>
      </c>
      <c r="L16" s="32" t="n">
        <f aca="false">MIN(100,F16/INPUTS!$B$8*100)</f>
        <v>76.5484376436769</v>
      </c>
      <c r="M16" s="32" t="n">
        <f aca="false">IF(G16&gt;0,MIN(100,INPUTS!$B$9/G16*100),100)</f>
        <v>70.997896853653</v>
      </c>
      <c r="N16" s="32" t="n">
        <f aca="false">MIN(100,H16/INPUTS!$B$10*100)</f>
        <v>44.9230769230769</v>
      </c>
      <c r="O16" s="32" t="n">
        <f aca="false">I16*INPUTS!$D$5</f>
        <v>25.5560794520548</v>
      </c>
      <c r="P16" s="32" t="n">
        <f aca="false">J16*INPUTS!$D$6</f>
        <v>5.3499292413425</v>
      </c>
      <c r="Q16" s="32" t="n">
        <f aca="false">K16*INPUTS!$D$7</f>
        <v>19.2536659558872</v>
      </c>
      <c r="R16" s="32" t="n">
        <f aca="false">L16*INPUTS!$D$8</f>
        <v>11.4822656465515</v>
      </c>
      <c r="S16" s="32" t="n">
        <f aca="false">M16*INPUTS!$D$9</f>
        <v>7.0997896853653</v>
      </c>
      <c r="T16" s="32" t="n">
        <f aca="false">N16*INPUTS!$D$10</f>
        <v>2.24615384615385</v>
      </c>
      <c r="U16" s="11" t="n">
        <f aca="false">SUM(O16:T16)</f>
        <v>70.9878838273552</v>
      </c>
      <c r="V16" s="43" t="str">
        <f aca="false">IF(U16&gt;=INPUTS!$B$13,"A",IF(U16&gt;=INPUTS!$B$14,"B",IF(U16&gt;=INPUTS!$B$15,"C","D")))</f>
        <v>C</v>
      </c>
      <c r="W16" s="44" t="str">
        <f aca="false">IF(B16&gt;=INPUTS!$B$16,"RANKED","TRIAL")</f>
        <v>RANKED</v>
      </c>
      <c r="X16" s="45" t="n">
        <f aca="false">IF(W16="RANKED",COUNTIFS($W$5:$W$29,"RANKED",$U$5:$U$29,"&gt;"&amp;U16)+1,"—")</f>
        <v>12</v>
      </c>
      <c r="Y16" s="44" t="n">
        <f aca="false">IF(W16="RANKED",COUNTIFS($W$5:$W$29,"RANKED",$AA$5:$AA$29,"&gt;"&amp;AA16)+1,"—")</f>
        <v>9</v>
      </c>
      <c r="Z16" s="44" t="n">
        <f aca="false">IF(W16="RANKED",Y16-X16,"—")</f>
        <v>-3</v>
      </c>
      <c r="AA16" s="30" t="n">
        <f aca="false">'BUYER DATA'!D16</f>
        <v>621864.6</v>
      </c>
    </row>
    <row r="17" customFormat="false" ht="15" hidden="false" customHeight="false" outlineLevel="0" collapsed="false">
      <c r="A17" s="4" t="str">
        <f aca="false">'BUYER DATA'!A17</f>
        <v>LAGER</v>
      </c>
      <c r="B17" s="29" t="n">
        <f aca="false">'BUYER DATA'!B17</f>
        <v>68</v>
      </c>
      <c r="C17" s="30" t="n">
        <f aca="false">'BUYER DATA'!D17/'BUYER DATA'!B17</f>
        <v>2102.33823529412</v>
      </c>
      <c r="D17" s="31" t="n">
        <f aca="false">'BUYER DATA'!D17/'BUYER DATA'!$D$30</f>
        <v>0.00614941366989762</v>
      </c>
      <c r="E17" s="42" t="n">
        <f aca="false">'BUYER DATA'!D17/'BUYER DATA'!E17</f>
        <v>0.0758135241539568</v>
      </c>
      <c r="F17" s="31" t="n">
        <f aca="false">'BUYER DATA'!F17</f>
        <v>0.604901076918281</v>
      </c>
      <c r="G17" s="31" t="n">
        <f aca="false">'BUYER DATA'!G17</f>
        <v>0.125142483190014</v>
      </c>
      <c r="H17" s="32" t="n">
        <f aca="false">'BUYER DATA'!H17</f>
        <v>7.55555555555556</v>
      </c>
      <c r="I17" s="32" t="n">
        <f aca="false">MIN(100,C17/INPUTS!$B$5*100)</f>
        <v>84.0935294117647</v>
      </c>
      <c r="J17" s="32" t="n">
        <f aca="false">MIN(100,D17/INPUTS!$B$6*100)</f>
        <v>6.14941366989762</v>
      </c>
      <c r="K17" s="32" t="n">
        <f aca="false">MIN(100,E17/INPUTS!$B$7*100)</f>
        <v>89.9330061138278</v>
      </c>
      <c r="L17" s="32" t="n">
        <f aca="false">MIN(100,F17/INPUTS!$B$8*100)</f>
        <v>75.6126346147852</v>
      </c>
      <c r="M17" s="32" t="n">
        <f aca="false">IF(G17&gt;0,MIN(100,INPUTS!$B$9/G17*100),100)</f>
        <v>79.9089145835169</v>
      </c>
      <c r="N17" s="32" t="n">
        <f aca="false">MIN(100,H17/INPUTS!$B$10*100)</f>
        <v>75.5555555555556</v>
      </c>
      <c r="O17" s="32" t="n">
        <f aca="false">I17*INPUTS!$D$5</f>
        <v>25.2280588235294</v>
      </c>
      <c r="P17" s="32" t="n">
        <f aca="false">J17*INPUTS!$D$6</f>
        <v>1.22988273397952</v>
      </c>
      <c r="Q17" s="32" t="n">
        <f aca="false">K17*INPUTS!$D$7</f>
        <v>17.9866012227656</v>
      </c>
      <c r="R17" s="32" t="n">
        <f aca="false">L17*INPUTS!$D$8</f>
        <v>11.3418951922178</v>
      </c>
      <c r="S17" s="32" t="n">
        <f aca="false">M17*INPUTS!$D$9</f>
        <v>7.99089145835169</v>
      </c>
      <c r="T17" s="32" t="n">
        <f aca="false">N17*INPUTS!$D$10</f>
        <v>3.77777777777778</v>
      </c>
      <c r="U17" s="11" t="n">
        <f aca="false">SUM(O17:T17)</f>
        <v>67.5551072086217</v>
      </c>
      <c r="V17" s="43" t="str">
        <f aca="false">IF(U17&gt;=INPUTS!$B$13,"A",IF(U17&gt;=INPUTS!$B$14,"B",IF(U17&gt;=INPUTS!$B$15,"C","D")))</f>
        <v>C</v>
      </c>
      <c r="W17" s="44" t="str">
        <f aca="false">IF(B17&gt;=INPUTS!$B$16,"RANKED","TRIAL")</f>
        <v>RANKED</v>
      </c>
      <c r="X17" s="45" t="n">
        <f aca="false">IF(W17="RANKED",COUNTIFS($W$5:$W$29,"RANKED",$U$5:$U$29,"&gt;"&amp;U17)+1,"—")</f>
        <v>13</v>
      </c>
      <c r="Y17" s="44" t="n">
        <f aca="false">IF(W17="RANKED",COUNTIFS($W$5:$W$29,"RANKED",$AA$5:$AA$29,"&gt;"&amp;AA17)+1,"—")</f>
        <v>16</v>
      </c>
      <c r="Z17" s="44" t="n">
        <f aca="false">IF(W17="RANKED",Y17-X17,"—")</f>
        <v>3</v>
      </c>
      <c r="AA17" s="30" t="n">
        <f aca="false">'BUYER DATA'!D17</f>
        <v>142959</v>
      </c>
    </row>
    <row r="18" customFormat="false" ht="15" hidden="false" customHeight="false" outlineLevel="0" collapsed="false">
      <c r="A18" s="4" t="str">
        <f aca="false">'BUYER DATA'!A18</f>
        <v>TRIBAL</v>
      </c>
      <c r="B18" s="29" t="n">
        <f aca="false">'BUYER DATA'!B18</f>
        <v>49</v>
      </c>
      <c r="C18" s="30" t="n">
        <f aca="false">'BUYER DATA'!D18/'BUYER DATA'!B18</f>
        <v>2579.08163265306</v>
      </c>
      <c r="D18" s="31" t="n">
        <f aca="false">'BUYER DATA'!D18/'BUYER DATA'!$D$30</f>
        <v>0.00543604916467877</v>
      </c>
      <c r="E18" s="42" t="n">
        <f aca="false">'BUYER DATA'!D18/'BUYER DATA'!E18</f>
        <v>0.115665475766081</v>
      </c>
      <c r="F18" s="31" t="n">
        <f aca="false">'BUYER DATA'!F18</f>
        <v>0.510648919569498</v>
      </c>
      <c r="G18" s="31" t="n">
        <f aca="false">'BUYER DATA'!G18</f>
        <v>0.229980530064991</v>
      </c>
      <c r="H18" s="32" t="n">
        <f aca="false">'BUYER DATA'!H18</f>
        <v>2.72222222222222</v>
      </c>
      <c r="I18" s="32" t="n">
        <f aca="false">MIN(100,C18/INPUTS!$B$5*100)</f>
        <v>100</v>
      </c>
      <c r="J18" s="32" t="n">
        <f aca="false">MIN(100,D18/INPUTS!$B$6*100)</f>
        <v>5.43604916467876</v>
      </c>
      <c r="K18" s="32" t="n">
        <f aca="false">MIN(100,E18/INPUTS!$B$7*100)</f>
        <v>100</v>
      </c>
      <c r="L18" s="32" t="n">
        <f aca="false">MIN(100,F18/INPUTS!$B$8*100)</f>
        <v>63.8311149461873</v>
      </c>
      <c r="M18" s="32" t="n">
        <f aca="false">IF(G18&gt;0,MIN(100,INPUTS!$B$9/G18*100),100)</f>
        <v>43.4819416981693</v>
      </c>
      <c r="N18" s="32" t="n">
        <f aca="false">MIN(100,H18/INPUTS!$B$10*100)</f>
        <v>27.2222222222222</v>
      </c>
      <c r="O18" s="32" t="n">
        <f aca="false">I18*INPUTS!$D$5</f>
        <v>30</v>
      </c>
      <c r="P18" s="32" t="n">
        <f aca="false">J18*INPUTS!$D$6</f>
        <v>1.08720983293575</v>
      </c>
      <c r="Q18" s="32" t="n">
        <f aca="false">K18*INPUTS!$D$7</f>
        <v>20</v>
      </c>
      <c r="R18" s="32" t="n">
        <f aca="false">L18*INPUTS!$D$8</f>
        <v>9.5746672419281</v>
      </c>
      <c r="S18" s="32" t="n">
        <f aca="false">M18*INPUTS!$D$9</f>
        <v>4.34819416981693</v>
      </c>
      <c r="T18" s="32" t="n">
        <f aca="false">N18*INPUTS!$D$10</f>
        <v>1.36111111111111</v>
      </c>
      <c r="U18" s="11" t="n">
        <f aca="false">SUM(O18:T18)</f>
        <v>66.3711823557919</v>
      </c>
      <c r="V18" s="43" t="str">
        <f aca="false">IF(U18&gt;=INPUTS!$B$13,"A",IF(U18&gt;=INPUTS!$B$14,"B",IF(U18&gt;=INPUTS!$B$15,"C","D")))</f>
        <v>C</v>
      </c>
      <c r="W18" s="44" t="str">
        <f aca="false">IF(B18&gt;=INPUTS!$B$16,"RANKED","TRIAL")</f>
        <v>RANKED</v>
      </c>
      <c r="X18" s="45" t="n">
        <f aca="false">IF(W18="RANKED",COUNTIFS($W$5:$W$29,"RANKED",$U$5:$U$29,"&gt;"&amp;U18)+1,"—")</f>
        <v>14</v>
      </c>
      <c r="Y18" s="44" t="n">
        <f aca="false">IF(W18="RANKED",COUNTIFS($W$5:$W$29,"RANKED",$AA$5:$AA$29,"&gt;"&amp;AA18)+1,"—")</f>
        <v>17</v>
      </c>
      <c r="Z18" s="44" t="n">
        <f aca="false">IF(W18="RANKED",Y18-X18,"—")</f>
        <v>3</v>
      </c>
      <c r="AA18" s="30" t="n">
        <f aca="false">'BUYER DATA'!D18</f>
        <v>126375</v>
      </c>
    </row>
    <row r="19" customFormat="false" ht="15" hidden="false" customHeight="false" outlineLevel="0" collapsed="false">
      <c r="A19" s="4" t="str">
        <f aca="false">'BUYER DATA'!A19</f>
        <v>WALMART</v>
      </c>
      <c r="B19" s="29" t="n">
        <f aca="false">'BUYER DATA'!B19</f>
        <v>152</v>
      </c>
      <c r="C19" s="30" t="n">
        <f aca="false">'BUYER DATA'!D19/'BUYER DATA'!B19</f>
        <v>2051.53684210526</v>
      </c>
      <c r="D19" s="31" t="n">
        <f aca="false">'BUYER DATA'!D19/'BUYER DATA'!$D$30</f>
        <v>0.0134135927263998</v>
      </c>
      <c r="E19" s="42" t="n">
        <f aca="false">'BUYER DATA'!D19/'BUYER DATA'!E19</f>
        <v>0.057959209588476</v>
      </c>
      <c r="F19" s="31" t="n">
        <f aca="false">'BUYER DATA'!F19</f>
        <v>0.755906767428022</v>
      </c>
      <c r="G19" s="31" t="n">
        <f aca="false">'BUYER DATA'!G19</f>
        <v>0.165426448328242</v>
      </c>
      <c r="H19" s="32" t="n">
        <f aca="false">'BUYER DATA'!H19</f>
        <v>38</v>
      </c>
      <c r="I19" s="32" t="n">
        <f aca="false">MIN(100,C19/INPUTS!$B$5*100)</f>
        <v>82.0614736842105</v>
      </c>
      <c r="J19" s="32" t="n">
        <f aca="false">MIN(100,D19/INPUTS!$B$6*100)</f>
        <v>13.4135927263998</v>
      </c>
      <c r="K19" s="32" t="n">
        <f aca="false">MIN(100,E19/INPUTS!$B$7*100)</f>
        <v>68.7535107811103</v>
      </c>
      <c r="L19" s="32" t="n">
        <f aca="false">MIN(100,F19/INPUTS!$B$8*100)</f>
        <v>94.4883459285028</v>
      </c>
      <c r="M19" s="32" t="n">
        <f aca="false">IF(G19&gt;0,MIN(100,INPUTS!$B$9/G19*100),100)</f>
        <v>60.4498258957831</v>
      </c>
      <c r="N19" s="32" t="n">
        <f aca="false">MIN(100,H19/INPUTS!$B$10*100)</f>
        <v>100</v>
      </c>
      <c r="O19" s="32" t="n">
        <f aca="false">I19*INPUTS!$D$5</f>
        <v>24.6184421052632</v>
      </c>
      <c r="P19" s="32" t="n">
        <f aca="false">J19*INPUTS!$D$6</f>
        <v>2.68271854527996</v>
      </c>
      <c r="Q19" s="32" t="n">
        <f aca="false">K19*INPUTS!$D$7</f>
        <v>13.7507021562221</v>
      </c>
      <c r="R19" s="32" t="n">
        <f aca="false">L19*INPUTS!$D$8</f>
        <v>14.1732518892754</v>
      </c>
      <c r="S19" s="32" t="n">
        <f aca="false">M19*INPUTS!$D$9</f>
        <v>6.04498258957831</v>
      </c>
      <c r="T19" s="32" t="n">
        <f aca="false">N19*INPUTS!$D$10</f>
        <v>5</v>
      </c>
      <c r="U19" s="11" t="n">
        <f aca="false">SUM(O19:T19)</f>
        <v>66.2700972856189</v>
      </c>
      <c r="V19" s="43" t="str">
        <f aca="false">IF(U19&gt;=INPUTS!$B$13,"A",IF(U19&gt;=INPUTS!$B$14,"B",IF(U19&gt;=INPUTS!$B$15,"C","D")))</f>
        <v>C</v>
      </c>
      <c r="W19" s="44" t="str">
        <f aca="false">IF(B19&gt;=INPUTS!$B$16,"RANKED","TRIAL")</f>
        <v>RANKED</v>
      </c>
      <c r="X19" s="45" t="n">
        <f aca="false">IF(W19="RANKED",COUNTIFS($W$5:$W$29,"RANKED",$U$5:$U$29,"&gt;"&amp;U19)+1,"—")</f>
        <v>15</v>
      </c>
      <c r="Y19" s="44" t="n">
        <f aca="false">IF(W19="RANKED",COUNTIFS($W$5:$W$29,"RANKED",$AA$5:$AA$29,"&gt;"&amp;AA19)+1,"—")</f>
        <v>13</v>
      </c>
      <c r="Z19" s="44" t="n">
        <f aca="false">IF(W19="RANKED",Y19-X19,"—")</f>
        <v>-2</v>
      </c>
      <c r="AA19" s="30" t="n">
        <f aca="false">'BUYER DATA'!D19</f>
        <v>311833.6</v>
      </c>
    </row>
    <row r="20" customFormat="false" ht="15" hidden="false" customHeight="false" outlineLevel="0" collapsed="false">
      <c r="A20" s="4" t="str">
        <f aca="false">'BUYER DATA'!A20</f>
        <v>MED COUTORE</v>
      </c>
      <c r="B20" s="29" t="n">
        <f aca="false">'BUYER DATA'!B20</f>
        <v>244</v>
      </c>
      <c r="C20" s="30" t="n">
        <f aca="false">'BUYER DATA'!D20/'BUYER DATA'!B20</f>
        <v>1768.55327868852</v>
      </c>
      <c r="D20" s="31" t="n">
        <f aca="false">'BUYER DATA'!D20/'BUYER DATA'!$D$30</f>
        <v>0.018562231358151</v>
      </c>
      <c r="E20" s="42" t="n">
        <f aca="false">'BUYER DATA'!D20/'BUYER DATA'!E20</f>
        <v>0.0573979125279686</v>
      </c>
      <c r="F20" s="31" t="n">
        <f aca="false">'BUYER DATA'!F20</f>
        <v>0.656324340332686</v>
      </c>
      <c r="G20" s="31" t="n">
        <f aca="false">'BUYER DATA'!G20</f>
        <v>0.0861262262217724</v>
      </c>
      <c r="H20" s="32" t="n">
        <f aca="false">'BUYER DATA'!H20</f>
        <v>4.43636363636364</v>
      </c>
      <c r="I20" s="32" t="n">
        <f aca="false">MIN(100,C20/INPUTS!$B$5*100)</f>
        <v>70.742131147541</v>
      </c>
      <c r="J20" s="32" t="n">
        <f aca="false">MIN(100,D20/INPUTS!$B$6*100)</f>
        <v>18.562231358151</v>
      </c>
      <c r="K20" s="32" t="n">
        <f aca="false">MIN(100,E20/INPUTS!$B$7*100)</f>
        <v>68.0876779691205</v>
      </c>
      <c r="L20" s="32" t="n">
        <f aca="false">MIN(100,F20/INPUTS!$B$8*100)</f>
        <v>82.0405425415858</v>
      </c>
      <c r="M20" s="32" t="n">
        <f aca="false">IF(G20&gt;0,MIN(100,INPUTS!$B$9/G20*100),100)</f>
        <v>100</v>
      </c>
      <c r="N20" s="32" t="n">
        <f aca="false">MIN(100,H20/INPUTS!$B$10*100)</f>
        <v>44.3636363636364</v>
      </c>
      <c r="O20" s="32" t="n">
        <f aca="false">I20*INPUTS!$D$5</f>
        <v>21.2226393442623</v>
      </c>
      <c r="P20" s="32" t="n">
        <f aca="false">J20*INPUTS!$D$6</f>
        <v>3.7124462716302</v>
      </c>
      <c r="Q20" s="32" t="n">
        <f aca="false">K20*INPUTS!$D$7</f>
        <v>13.6175355938241</v>
      </c>
      <c r="R20" s="32" t="n">
        <f aca="false">L20*INPUTS!$D$8</f>
        <v>12.3060813812379</v>
      </c>
      <c r="S20" s="32" t="n">
        <f aca="false">M20*INPUTS!$D$9</f>
        <v>10</v>
      </c>
      <c r="T20" s="32" t="n">
        <f aca="false">N20*INPUTS!$D$10</f>
        <v>2.21818181818182</v>
      </c>
      <c r="U20" s="11" t="n">
        <f aca="false">SUM(O20:T20)</f>
        <v>63.0768844091363</v>
      </c>
      <c r="V20" s="43" t="str">
        <f aca="false">IF(U20&gt;=INPUTS!$B$13,"A",IF(U20&gt;=INPUTS!$B$14,"B",IF(U20&gt;=INPUTS!$B$15,"C","D")))</f>
        <v>D</v>
      </c>
      <c r="W20" s="44" t="str">
        <f aca="false">IF(B20&gt;=INPUTS!$B$16,"RANKED","TRIAL")</f>
        <v>RANKED</v>
      </c>
      <c r="X20" s="45" t="n">
        <f aca="false">IF(W20="RANKED",COUNTIFS($W$5:$W$29,"RANKED",$U$5:$U$29,"&gt;"&amp;U20)+1,"—")</f>
        <v>16</v>
      </c>
      <c r="Y20" s="44" t="n">
        <f aca="false">IF(W20="RANKED",COUNTIFS($W$5:$W$29,"RANKED",$AA$5:$AA$29,"&gt;"&amp;AA20)+1,"—")</f>
        <v>10</v>
      </c>
      <c r="Z20" s="44" t="n">
        <f aca="false">IF(W20="RANKED",Y20-X20,"—")</f>
        <v>-6</v>
      </c>
      <c r="AA20" s="30" t="n">
        <f aca="false">'BUYER DATA'!D20</f>
        <v>431527</v>
      </c>
    </row>
    <row r="21" customFormat="false" ht="15" hidden="false" customHeight="false" outlineLevel="0" collapsed="false">
      <c r="A21" s="4" t="str">
        <f aca="false">'BUYER DATA'!A21</f>
        <v>CARRE FOUR</v>
      </c>
      <c r="B21" s="29" t="n">
        <f aca="false">'BUYER DATA'!B21</f>
        <v>123</v>
      </c>
      <c r="C21" s="30" t="n">
        <f aca="false">'BUYER DATA'!D21/'BUYER DATA'!B21</f>
        <v>1776.58276422764</v>
      </c>
      <c r="D21" s="31" t="n">
        <f aca="false">'BUYER DATA'!D21/'BUYER DATA'!$D$30</f>
        <v>0.00939967338421263</v>
      </c>
      <c r="E21" s="42" t="n">
        <f aca="false">'BUYER DATA'!D21/'BUYER DATA'!E21</f>
        <v>0.0780249904998401</v>
      </c>
      <c r="F21" s="31" t="n">
        <f aca="false">'BUYER DATA'!F21</f>
        <v>0.492468722813394</v>
      </c>
      <c r="G21" s="31" t="n">
        <f aca="false">'BUYER DATA'!G21</f>
        <v>0.182442937614347</v>
      </c>
      <c r="H21" s="32" t="n">
        <f aca="false">'BUYER DATA'!H21</f>
        <v>7.6875</v>
      </c>
      <c r="I21" s="32" t="n">
        <f aca="false">MIN(100,C21/INPUTS!$B$5*100)</f>
        <v>71.0633105691057</v>
      </c>
      <c r="J21" s="32" t="n">
        <f aca="false">MIN(100,D21/INPUTS!$B$6*100)</f>
        <v>9.39967338421263</v>
      </c>
      <c r="K21" s="32" t="n">
        <f aca="false">MIN(100,E21/INPUTS!$B$7*100)</f>
        <v>92.5563351125031</v>
      </c>
      <c r="L21" s="32" t="n">
        <f aca="false">MIN(100,F21/INPUTS!$B$8*100)</f>
        <v>61.5585903516743</v>
      </c>
      <c r="M21" s="32" t="n">
        <f aca="false">IF(G21&gt;0,MIN(100,INPUTS!$B$9/G21*100),100)</f>
        <v>54.811658542455</v>
      </c>
      <c r="N21" s="32" t="n">
        <f aca="false">MIN(100,H21/INPUTS!$B$10*100)</f>
        <v>76.875</v>
      </c>
      <c r="O21" s="32" t="n">
        <f aca="false">I21*INPUTS!$D$5</f>
        <v>21.3189931707317</v>
      </c>
      <c r="P21" s="32" t="n">
        <f aca="false">J21*INPUTS!$D$6</f>
        <v>1.87993467684253</v>
      </c>
      <c r="Q21" s="32" t="n">
        <f aca="false">K21*INPUTS!$D$7</f>
        <v>18.5112670225006</v>
      </c>
      <c r="R21" s="32" t="n">
        <f aca="false">L21*INPUTS!$D$8</f>
        <v>9.23378855275114</v>
      </c>
      <c r="S21" s="32" t="n">
        <f aca="false">M21*INPUTS!$D$9</f>
        <v>5.4811658542455</v>
      </c>
      <c r="T21" s="32" t="n">
        <f aca="false">N21*INPUTS!$D$10</f>
        <v>3.84375</v>
      </c>
      <c r="U21" s="11" t="n">
        <f aca="false">SUM(O21:T21)</f>
        <v>60.2688992770715</v>
      </c>
      <c r="V21" s="43" t="str">
        <f aca="false">IF(U21&gt;=INPUTS!$B$13,"A",IF(U21&gt;=INPUTS!$B$14,"B",IF(U21&gt;=INPUTS!$B$15,"C","D")))</f>
        <v>D</v>
      </c>
      <c r="W21" s="44" t="str">
        <f aca="false">IF(B21&gt;=INPUTS!$B$16,"RANKED","TRIAL")</f>
        <v>RANKED</v>
      </c>
      <c r="X21" s="45" t="n">
        <f aca="false">IF(W21="RANKED",COUNTIFS($W$5:$W$29,"RANKED",$U$5:$U$29,"&gt;"&amp;U21)+1,"—")</f>
        <v>17</v>
      </c>
      <c r="Y21" s="44" t="n">
        <f aca="false">IF(W21="RANKED",COUNTIFS($W$5:$W$29,"RANKED",$AA$5:$AA$29,"&gt;"&amp;AA21)+1,"—")</f>
        <v>15</v>
      </c>
      <c r="Z21" s="44" t="n">
        <f aca="false">IF(W21="RANKED",Y21-X21,"—")</f>
        <v>-2</v>
      </c>
      <c r="AA21" s="30" t="n">
        <f aca="false">'BUYER DATA'!D21</f>
        <v>218519.68</v>
      </c>
    </row>
    <row r="22" customFormat="false" ht="15" hidden="false" customHeight="false" outlineLevel="0" collapsed="false">
      <c r="A22" s="4" t="str">
        <f aca="false">'BUYER DATA'!A22</f>
        <v>LUCKY</v>
      </c>
      <c r="B22" s="29" t="n">
        <f aca="false">'BUYER DATA'!B22</f>
        <v>18</v>
      </c>
      <c r="C22" s="30" t="n">
        <f aca="false">'BUYER DATA'!D22/'BUYER DATA'!B22</f>
        <v>1923.33333333333</v>
      </c>
      <c r="D22" s="31" t="n">
        <f aca="false">'BUYER DATA'!D22/'BUYER DATA'!$D$30</f>
        <v>0.00148918711834761</v>
      </c>
      <c r="E22" s="42" t="n">
        <f aca="false">'BUYER DATA'!D22/'BUYER DATA'!E22</f>
        <v>0.0756708410217269</v>
      </c>
      <c r="F22" s="31" t="n">
        <f aca="false">'BUYER DATA'!F22</f>
        <v>0.486716666666667</v>
      </c>
      <c r="G22" s="31" t="n">
        <f aca="false">'BUYER DATA'!G22</f>
        <v>0.214805555555556</v>
      </c>
      <c r="H22" s="32" t="n">
        <f aca="false">'BUYER DATA'!H22</f>
        <v>9</v>
      </c>
      <c r="I22" s="32" t="n">
        <f aca="false">MIN(100,C22/INPUTS!$B$5*100)</f>
        <v>76.9333333333333</v>
      </c>
      <c r="J22" s="32" t="n">
        <f aca="false">MIN(100,D22/INPUTS!$B$6*100)</f>
        <v>1.48918711834761</v>
      </c>
      <c r="K22" s="32" t="n">
        <f aca="false">MIN(100,E22/INPUTS!$B$7*100)</f>
        <v>89.7637497292133</v>
      </c>
      <c r="L22" s="32" t="n">
        <f aca="false">MIN(100,F22/INPUTS!$B$8*100)</f>
        <v>60.8395833333333</v>
      </c>
      <c r="M22" s="32" t="n">
        <f aca="false">IF(G22&gt;0,MIN(100,INPUTS!$B$9/G22*100),100)</f>
        <v>46.5537307642571</v>
      </c>
      <c r="N22" s="32" t="n">
        <f aca="false">MIN(100,H22/INPUTS!$B$10*100)</f>
        <v>90</v>
      </c>
      <c r="O22" s="32" t="n">
        <f aca="false">I22*INPUTS!$D$5</f>
        <v>23.08</v>
      </c>
      <c r="P22" s="32" t="n">
        <f aca="false">J22*INPUTS!$D$6</f>
        <v>0.297837423669521</v>
      </c>
      <c r="Q22" s="32" t="n">
        <f aca="false">K22*INPUTS!$D$7</f>
        <v>17.9527499458427</v>
      </c>
      <c r="R22" s="32" t="n">
        <f aca="false">L22*INPUTS!$D$8</f>
        <v>9.1259375</v>
      </c>
      <c r="S22" s="32" t="n">
        <f aca="false">M22*INPUTS!$D$9</f>
        <v>4.65537307642571</v>
      </c>
      <c r="T22" s="32" t="n">
        <f aca="false">N22*INPUTS!$D$10</f>
        <v>4.5</v>
      </c>
      <c r="U22" s="11" t="n">
        <f aca="false">SUM(O22:T22)</f>
        <v>59.6118979459379</v>
      </c>
      <c r="V22" s="43" t="str">
        <f aca="false">IF(U22&gt;=INPUTS!$B$13,"A",IF(U22&gt;=INPUTS!$B$14,"B",IF(U22&gt;=INPUTS!$B$15,"C","D")))</f>
        <v>D</v>
      </c>
      <c r="W22" s="44" t="str">
        <f aca="false">IF(B22&gt;=INPUTS!$B$16,"RANKED","TRIAL")</f>
        <v>TRIAL</v>
      </c>
      <c r="X22" s="45" t="str">
        <f aca="false">IF(W22="RANKED",COUNTIFS($W$5:$W$29,"RANKED",$U$5:$U$29,"&gt;"&amp;U22)+1,"—")</f>
        <v>—</v>
      </c>
      <c r="Y22" s="44" t="str">
        <f aca="false">IF(W22="RANKED",COUNTIFS($W$5:$W$29,"RANKED",$AA$5:$AA$29,"&gt;"&amp;AA22)+1,"—")</f>
        <v>—</v>
      </c>
      <c r="Z22" s="44" t="str">
        <f aca="false">IF(W22="RANKED",Y22-X22,"—")</f>
        <v>—</v>
      </c>
      <c r="AA22" s="30" t="n">
        <f aca="false">'BUYER DATA'!D22</f>
        <v>34620</v>
      </c>
    </row>
    <row r="23" customFormat="false" ht="15" hidden="false" customHeight="false" outlineLevel="0" collapsed="false">
      <c r="A23" s="4" t="str">
        <f aca="false">'BUYER DATA'!A23</f>
        <v>PULL &amp; BEAR</v>
      </c>
      <c r="B23" s="29" t="n">
        <f aca="false">'BUYER DATA'!B23</f>
        <v>17</v>
      </c>
      <c r="C23" s="30" t="n">
        <f aca="false">'BUYER DATA'!D23/'BUYER DATA'!B23</f>
        <v>1737.45882352941</v>
      </c>
      <c r="D23" s="31" t="n">
        <f aca="false">'BUYER DATA'!D23/'BUYER DATA'!$D$30</f>
        <v>0.00127053212239196</v>
      </c>
      <c r="E23" s="42" t="n">
        <f aca="false">'BUYER DATA'!D23/'BUYER DATA'!E23</f>
        <v>0.0774061466719744</v>
      </c>
      <c r="F23" s="31" t="n">
        <f aca="false">'BUYER DATA'!F23</f>
        <v>0.5167</v>
      </c>
      <c r="G23" s="31" t="n">
        <f aca="false">'BUYER DATA'!G23</f>
        <v>0.161135294117647</v>
      </c>
      <c r="H23" s="32" t="n">
        <f aca="false">'BUYER DATA'!H23</f>
        <v>5.66666666666667</v>
      </c>
      <c r="I23" s="32" t="n">
        <f aca="false">MIN(100,C23/INPUTS!$B$5*100)</f>
        <v>69.4983529411765</v>
      </c>
      <c r="J23" s="32" t="n">
        <f aca="false">MIN(100,D23/INPUTS!$B$6*100)</f>
        <v>1.27053212239196</v>
      </c>
      <c r="K23" s="32" t="n">
        <f aca="false">MIN(100,E23/INPUTS!$B$7*100)</f>
        <v>91.8222380450468</v>
      </c>
      <c r="L23" s="32" t="n">
        <f aca="false">MIN(100,F23/INPUTS!$B$8*100)</f>
        <v>64.5875</v>
      </c>
      <c r="M23" s="32" t="n">
        <f aca="false">IF(G23&gt;0,MIN(100,INPUTS!$B$9/G23*100),100)</f>
        <v>62.0596502756179</v>
      </c>
      <c r="N23" s="32" t="n">
        <f aca="false">MIN(100,H23/INPUTS!$B$10*100)</f>
        <v>56.6666666666667</v>
      </c>
      <c r="O23" s="32" t="n">
        <f aca="false">I23*INPUTS!$D$5</f>
        <v>20.8495058823529</v>
      </c>
      <c r="P23" s="32" t="n">
        <f aca="false">J23*INPUTS!$D$6</f>
        <v>0.254106424478392</v>
      </c>
      <c r="Q23" s="32" t="n">
        <f aca="false">K23*INPUTS!$D$7</f>
        <v>18.3644476090094</v>
      </c>
      <c r="R23" s="32" t="n">
        <f aca="false">L23*INPUTS!$D$8</f>
        <v>9.688125</v>
      </c>
      <c r="S23" s="32" t="n">
        <f aca="false">M23*INPUTS!$D$9</f>
        <v>6.20596502756179</v>
      </c>
      <c r="T23" s="32" t="n">
        <f aca="false">N23*INPUTS!$D$10</f>
        <v>2.83333333333333</v>
      </c>
      <c r="U23" s="11" t="n">
        <f aca="false">SUM(O23:T23)</f>
        <v>58.1954832767358</v>
      </c>
      <c r="V23" s="43" t="str">
        <f aca="false">IF(U23&gt;=INPUTS!$B$13,"A",IF(U23&gt;=INPUTS!$B$14,"B",IF(U23&gt;=INPUTS!$B$15,"C","D")))</f>
        <v>D</v>
      </c>
      <c r="W23" s="44" t="str">
        <f aca="false">IF(B23&gt;=INPUTS!$B$16,"RANKED","TRIAL")</f>
        <v>TRIAL</v>
      </c>
      <c r="X23" s="45" t="str">
        <f aca="false">IF(W23="RANKED",COUNTIFS($W$5:$W$29,"RANKED",$U$5:$U$29,"&gt;"&amp;U23)+1,"—")</f>
        <v>—</v>
      </c>
      <c r="Y23" s="44" t="str">
        <f aca="false">IF(W23="RANKED",COUNTIFS($W$5:$W$29,"RANKED",$AA$5:$AA$29,"&gt;"&amp;AA23)+1,"—")</f>
        <v>—</v>
      </c>
      <c r="Z23" s="44" t="str">
        <f aca="false">IF(W23="RANKED",Y23-X23,"—")</f>
        <v>—</v>
      </c>
      <c r="AA23" s="30" t="n">
        <f aca="false">'BUYER DATA'!D23</f>
        <v>29536.8</v>
      </c>
    </row>
    <row r="24" customFormat="false" ht="15" hidden="false" customHeight="false" outlineLevel="0" collapsed="false">
      <c r="A24" s="4" t="str">
        <f aca="false">'BUYER DATA'!A24</f>
        <v>FAKE GODS</v>
      </c>
      <c r="B24" s="29" t="n">
        <f aca="false">'BUYER DATA'!B24</f>
        <v>9</v>
      </c>
      <c r="C24" s="30" t="n">
        <f aca="false">'BUYER DATA'!D24/'BUYER DATA'!B24</f>
        <v>3002.66666666667</v>
      </c>
      <c r="D24" s="31" t="n">
        <f aca="false">'BUYER DATA'!D24/'BUYER DATA'!$D$30</f>
        <v>0.00116244346291813</v>
      </c>
      <c r="E24" s="42" t="n">
        <f aca="false">'BUYER DATA'!D24/'BUYER DATA'!E24</f>
        <v>0.18830743502195</v>
      </c>
      <c r="F24" s="31" t="n">
        <f aca="false">'BUYER DATA'!F24</f>
        <v>0.392466666666667</v>
      </c>
      <c r="G24" s="31" t="n">
        <f aca="false">'BUYER DATA'!G24</f>
        <v>0.110588888888889</v>
      </c>
      <c r="H24" s="32" t="n">
        <f aca="false">'BUYER DATA'!H24</f>
        <v>4.5</v>
      </c>
      <c r="I24" s="32" t="n">
        <f aca="false">MIN(100,C24/INPUTS!$B$5*100)</f>
        <v>100</v>
      </c>
      <c r="J24" s="32" t="n">
        <f aca="false">MIN(100,D24/INPUTS!$B$6*100)</f>
        <v>1.16244346291813</v>
      </c>
      <c r="K24" s="32" t="n">
        <f aca="false">MIN(100,E24/INPUTS!$B$7*100)</f>
        <v>100</v>
      </c>
      <c r="L24" s="32" t="n">
        <f aca="false">MIN(100,F24/INPUTS!$B$8*100)</f>
        <v>49.0583333333333</v>
      </c>
      <c r="M24" s="32" t="n">
        <f aca="false">IF(G24&gt;0,MIN(100,INPUTS!$B$9/G24*100),100)</f>
        <v>90.4249974881945</v>
      </c>
      <c r="N24" s="32" t="n">
        <f aca="false">MIN(100,H24/INPUTS!$B$10*100)</f>
        <v>45</v>
      </c>
      <c r="O24" s="32" t="n">
        <f aca="false">I24*INPUTS!$D$5</f>
        <v>30</v>
      </c>
      <c r="P24" s="32" t="n">
        <f aca="false">J24*INPUTS!$D$6</f>
        <v>0.232488692583626</v>
      </c>
      <c r="Q24" s="32" t="n">
        <f aca="false">K24*INPUTS!$D$7</f>
        <v>20</v>
      </c>
      <c r="R24" s="32" t="n">
        <f aca="false">L24*INPUTS!$D$8</f>
        <v>7.35875</v>
      </c>
      <c r="S24" s="32" t="n">
        <f aca="false">M24*INPUTS!$D$9</f>
        <v>9.04249974881945</v>
      </c>
      <c r="T24" s="32" t="n">
        <f aca="false">N24*INPUTS!$D$10</f>
        <v>2.25</v>
      </c>
      <c r="U24" s="11" t="n">
        <f aca="false">SUM(O24:T24)</f>
        <v>68.8837384414031</v>
      </c>
      <c r="V24" s="43" t="str">
        <f aca="false">IF(U24&gt;=INPUTS!$B$13,"A",IF(U24&gt;=INPUTS!$B$14,"B",IF(U24&gt;=INPUTS!$B$15,"C","D")))</f>
        <v>C</v>
      </c>
      <c r="W24" s="44" t="str">
        <f aca="false">IF(B24&gt;=INPUTS!$B$16,"RANKED","TRIAL")</f>
        <v>TRIAL</v>
      </c>
      <c r="X24" s="45" t="str">
        <f aca="false">IF(W24="RANKED",COUNTIFS($W$5:$W$29,"RANKED",$U$5:$U$29,"&gt;"&amp;U24)+1,"—")</f>
        <v>—</v>
      </c>
      <c r="Y24" s="44" t="str">
        <f aca="false">IF(W24="RANKED",COUNTIFS($W$5:$W$29,"RANKED",$AA$5:$AA$29,"&gt;"&amp;AA24)+1,"—")</f>
        <v>—</v>
      </c>
      <c r="Z24" s="44" t="str">
        <f aca="false">IF(W24="RANKED",Y24-X24,"—")</f>
        <v>—</v>
      </c>
      <c r="AA24" s="30" t="n">
        <f aca="false">'BUYER DATA'!D24</f>
        <v>27024</v>
      </c>
    </row>
    <row r="25" customFormat="false" ht="15" hidden="false" customHeight="false" outlineLevel="0" collapsed="false">
      <c r="A25" s="4" t="str">
        <f aca="false">'BUYER DATA'!A25</f>
        <v>CIRCULAR JEAN</v>
      </c>
      <c r="B25" s="29" t="n">
        <f aca="false">'BUYER DATA'!B25</f>
        <v>9</v>
      </c>
      <c r="C25" s="30" t="n">
        <f aca="false">'BUYER DATA'!D25/'BUYER DATA'!B25</f>
        <v>2329.97222222222</v>
      </c>
      <c r="D25" s="31" t="n">
        <f aca="false">'BUYER DATA'!D25/'BUYER DATA'!$D$30</f>
        <v>0.000902018531917092</v>
      </c>
      <c r="E25" s="42" t="n">
        <f aca="false">'BUYER DATA'!D25/'BUYER DATA'!E25</f>
        <v>0.0964546402502607</v>
      </c>
      <c r="F25" s="31" t="n">
        <f aca="false">'BUYER DATA'!F25</f>
        <v>0.480222222222222</v>
      </c>
      <c r="G25" s="31" t="n">
        <f aca="false">'BUYER DATA'!G25</f>
        <v>0.123044444444444</v>
      </c>
      <c r="H25" s="32" t="n">
        <f aca="false">'BUYER DATA'!H25</f>
        <v>9</v>
      </c>
      <c r="I25" s="32" t="n">
        <f aca="false">MIN(100,C25/INPUTS!$B$5*100)</f>
        <v>93.1988888888889</v>
      </c>
      <c r="J25" s="32" t="n">
        <f aca="false">MIN(100,D25/INPUTS!$B$6*100)</f>
        <v>0.902018531917092</v>
      </c>
      <c r="K25" s="32" t="n">
        <f aca="false">MIN(100,E25/INPUTS!$B$7*100)</f>
        <v>100</v>
      </c>
      <c r="L25" s="32" t="n">
        <f aca="false">MIN(100,F25/INPUTS!$B$8*100)</f>
        <v>60.0277777777778</v>
      </c>
      <c r="M25" s="32" t="n">
        <f aca="false">IF(G25&gt;0,MIN(100,INPUTS!$B$9/G25*100),100)</f>
        <v>81.2714466317501</v>
      </c>
      <c r="N25" s="32" t="n">
        <f aca="false">MIN(100,H25/INPUTS!$B$10*100)</f>
        <v>90</v>
      </c>
      <c r="O25" s="32" t="n">
        <f aca="false">I25*INPUTS!$D$5</f>
        <v>27.9596666666667</v>
      </c>
      <c r="P25" s="32" t="n">
        <f aca="false">J25*INPUTS!$D$6</f>
        <v>0.180403706383418</v>
      </c>
      <c r="Q25" s="32" t="n">
        <f aca="false">K25*INPUTS!$D$7</f>
        <v>20</v>
      </c>
      <c r="R25" s="32" t="n">
        <f aca="false">L25*INPUTS!$D$8</f>
        <v>9.00416666666667</v>
      </c>
      <c r="S25" s="32" t="n">
        <f aca="false">M25*INPUTS!$D$9</f>
        <v>8.12714466317501</v>
      </c>
      <c r="T25" s="32" t="n">
        <f aca="false">N25*INPUTS!$D$10</f>
        <v>4.5</v>
      </c>
      <c r="U25" s="11" t="n">
        <f aca="false">SUM(O25:T25)</f>
        <v>69.7713817028918</v>
      </c>
      <c r="V25" s="43" t="str">
        <f aca="false">IF(U25&gt;=INPUTS!$B$13,"A",IF(U25&gt;=INPUTS!$B$14,"B",IF(U25&gt;=INPUTS!$B$15,"C","D")))</f>
        <v>C</v>
      </c>
      <c r="W25" s="44" t="str">
        <f aca="false">IF(B25&gt;=INPUTS!$B$16,"RANKED","TRIAL")</f>
        <v>TRIAL</v>
      </c>
      <c r="X25" s="45" t="str">
        <f aca="false">IF(W25="RANKED",COUNTIFS($W$5:$W$29,"RANKED",$U$5:$U$29,"&gt;"&amp;U25)+1,"—")</f>
        <v>—</v>
      </c>
      <c r="Y25" s="44" t="str">
        <f aca="false">IF(W25="RANKED",COUNTIFS($W$5:$W$29,"RANKED",$AA$5:$AA$29,"&gt;"&amp;AA25)+1,"—")</f>
        <v>—</v>
      </c>
      <c r="Z25" s="44" t="str">
        <f aca="false">IF(W25="RANKED",Y25-X25,"—")</f>
        <v>—</v>
      </c>
      <c r="AA25" s="30" t="n">
        <f aca="false">'BUYER DATA'!D25</f>
        <v>20969.75</v>
      </c>
    </row>
    <row r="26" customFormat="false" ht="15" hidden="false" customHeight="false" outlineLevel="0" collapsed="false">
      <c r="A26" s="4" t="str">
        <f aca="false">'BUYER DATA'!A26</f>
        <v>JOULES</v>
      </c>
      <c r="B26" s="29" t="n">
        <f aca="false">'BUYER DATA'!B26</f>
        <v>6</v>
      </c>
      <c r="C26" s="30" t="n">
        <f aca="false">'BUYER DATA'!D26/'BUYER DATA'!B26</f>
        <v>2926.66666666667</v>
      </c>
      <c r="D26" s="31" t="n">
        <f aca="false">'BUYER DATA'!D26/'BUYER DATA'!$D$30</f>
        <v>0.00075534736563212</v>
      </c>
      <c r="E26" s="42" t="n">
        <f aca="false">'BUYER DATA'!D26/'BUYER DATA'!E26</f>
        <v>0.150430044889148</v>
      </c>
      <c r="F26" s="31" t="n">
        <f aca="false">'BUYER DATA'!F26</f>
        <v>0.397283333333333</v>
      </c>
      <c r="G26" s="31" t="n">
        <f aca="false">'BUYER DATA'!G26</f>
        <v>0.14125</v>
      </c>
      <c r="H26" s="32" t="n">
        <f aca="false">'BUYER DATA'!H26</f>
        <v>3</v>
      </c>
      <c r="I26" s="32" t="n">
        <f aca="false">MIN(100,C26/INPUTS!$B$5*100)</f>
        <v>100</v>
      </c>
      <c r="J26" s="32" t="n">
        <f aca="false">MIN(100,D26/INPUTS!$B$6*100)</f>
        <v>0.75534736563212</v>
      </c>
      <c r="K26" s="32" t="n">
        <f aca="false">MIN(100,E26/INPUTS!$B$7*100)</f>
        <v>100</v>
      </c>
      <c r="L26" s="32" t="n">
        <f aca="false">MIN(100,F26/INPUTS!$B$8*100)</f>
        <v>49.6604166666667</v>
      </c>
      <c r="M26" s="32" t="n">
        <f aca="false">IF(G26&gt;0,MIN(100,INPUTS!$B$9/G26*100),100)</f>
        <v>70.7964601769912</v>
      </c>
      <c r="N26" s="32" t="n">
        <f aca="false">MIN(100,H26/INPUTS!$B$10*100)</f>
        <v>30</v>
      </c>
      <c r="O26" s="32" t="n">
        <f aca="false">I26*INPUTS!$D$5</f>
        <v>30</v>
      </c>
      <c r="P26" s="32" t="n">
        <f aca="false">J26*INPUTS!$D$6</f>
        <v>0.151069473126424</v>
      </c>
      <c r="Q26" s="32" t="n">
        <f aca="false">K26*INPUTS!$D$7</f>
        <v>20</v>
      </c>
      <c r="R26" s="32" t="n">
        <f aca="false">L26*INPUTS!$D$8</f>
        <v>7.4490625</v>
      </c>
      <c r="S26" s="32" t="n">
        <f aca="false">M26*INPUTS!$D$9</f>
        <v>7.07964601769912</v>
      </c>
      <c r="T26" s="32" t="n">
        <f aca="false">N26*INPUTS!$D$10</f>
        <v>1.5</v>
      </c>
      <c r="U26" s="11" t="n">
        <f aca="false">SUM(O26:T26)</f>
        <v>66.1797779908255</v>
      </c>
      <c r="V26" s="43" t="str">
        <f aca="false">IF(U26&gt;=INPUTS!$B$13,"A",IF(U26&gt;=INPUTS!$B$14,"B",IF(U26&gt;=INPUTS!$B$15,"C","D")))</f>
        <v>C</v>
      </c>
      <c r="W26" s="44" t="str">
        <f aca="false">IF(B26&gt;=INPUTS!$B$16,"RANKED","TRIAL")</f>
        <v>TRIAL</v>
      </c>
      <c r="X26" s="45" t="str">
        <f aca="false">IF(W26="RANKED",COUNTIFS($W$5:$W$29,"RANKED",$U$5:$U$29,"&gt;"&amp;U26)+1,"—")</f>
        <v>—</v>
      </c>
      <c r="Y26" s="44" t="str">
        <f aca="false">IF(W26="RANKED",COUNTIFS($W$5:$W$29,"RANKED",$AA$5:$AA$29,"&gt;"&amp;AA26)+1,"—")</f>
        <v>—</v>
      </c>
      <c r="Z26" s="44" t="str">
        <f aca="false">IF(W26="RANKED",Y26-X26,"—")</f>
        <v>—</v>
      </c>
      <c r="AA26" s="30" t="n">
        <f aca="false">'BUYER DATA'!D26</f>
        <v>17560</v>
      </c>
    </row>
    <row r="27" customFormat="false" ht="15" hidden="false" customHeight="false" outlineLevel="0" collapsed="false">
      <c r="A27" s="4" t="str">
        <f aca="false">'BUYER DATA'!A27</f>
        <v>BUSS PRO</v>
      </c>
      <c r="B27" s="29" t="n">
        <f aca="false">'BUYER DATA'!B27</f>
        <v>11</v>
      </c>
      <c r="C27" s="30" t="n">
        <f aca="false">'BUYER DATA'!D27/'BUYER DATA'!B27</f>
        <v>832.5</v>
      </c>
      <c r="D27" s="31" t="n">
        <f aca="false">'BUYER DATA'!D27/'BUYER DATA'!$D$30</f>
        <v>0.000393911930568117</v>
      </c>
      <c r="E27" s="42" t="n">
        <f aca="false">'BUYER DATA'!D27/'BUYER DATA'!E27</f>
        <v>0.0455650060753341</v>
      </c>
      <c r="F27" s="31" t="n">
        <f aca="false">'BUYER DATA'!F27</f>
        <v>0.574495524831153</v>
      </c>
      <c r="G27" s="31" t="n">
        <f aca="false">'BUYER DATA'!G27</f>
        <v>0.118194855404494</v>
      </c>
      <c r="H27" s="32" t="n">
        <f aca="false">'BUYER DATA'!H27</f>
        <v>11</v>
      </c>
      <c r="I27" s="32" t="n">
        <f aca="false">MIN(100,C27/INPUTS!$B$5*100)</f>
        <v>33.3</v>
      </c>
      <c r="J27" s="32" t="n">
        <f aca="false">MIN(100,D27/INPUTS!$B$6*100)</f>
        <v>0.393911930568117</v>
      </c>
      <c r="K27" s="32" t="n">
        <f aca="false">MIN(100,E27/INPUTS!$B$7*100)</f>
        <v>54.0510155104794</v>
      </c>
      <c r="L27" s="32" t="n">
        <f aca="false">MIN(100,F27/INPUTS!$B$8*100)</f>
        <v>71.8119406038941</v>
      </c>
      <c r="M27" s="32" t="n">
        <f aca="false">IF(G27&gt;0,MIN(100,INPUTS!$B$9/G27*100),100)</f>
        <v>84.6060513021265</v>
      </c>
      <c r="N27" s="32" t="n">
        <f aca="false">MIN(100,H27/INPUTS!$B$10*100)</f>
        <v>100</v>
      </c>
      <c r="O27" s="32" t="n">
        <f aca="false">I27*INPUTS!$D$5</f>
        <v>9.99</v>
      </c>
      <c r="P27" s="32" t="n">
        <f aca="false">J27*INPUTS!$D$6</f>
        <v>0.0787823861136234</v>
      </c>
      <c r="Q27" s="32" t="n">
        <f aca="false">K27*INPUTS!$D$7</f>
        <v>10.8102031020959</v>
      </c>
      <c r="R27" s="32" t="n">
        <f aca="false">L27*INPUTS!$D$8</f>
        <v>10.7717910905841</v>
      </c>
      <c r="S27" s="32" t="n">
        <f aca="false">M27*INPUTS!$D$9</f>
        <v>8.46060513021265</v>
      </c>
      <c r="T27" s="32" t="n">
        <f aca="false">N27*INPUTS!$D$10</f>
        <v>5</v>
      </c>
      <c r="U27" s="11" t="n">
        <f aca="false">SUM(O27:T27)</f>
        <v>45.1113817090063</v>
      </c>
      <c r="V27" s="43" t="str">
        <f aca="false">IF(U27&gt;=INPUTS!$B$13,"A",IF(U27&gt;=INPUTS!$B$14,"B",IF(U27&gt;=INPUTS!$B$15,"C","D")))</f>
        <v>D</v>
      </c>
      <c r="W27" s="44" t="str">
        <f aca="false">IF(B27&gt;=INPUTS!$B$16,"RANKED","TRIAL")</f>
        <v>TRIAL</v>
      </c>
      <c r="X27" s="45" t="str">
        <f aca="false">IF(W27="RANKED",COUNTIFS($W$5:$W$29,"RANKED",$U$5:$U$29,"&gt;"&amp;U27)+1,"—")</f>
        <v>—</v>
      </c>
      <c r="Y27" s="44" t="str">
        <f aca="false">IF(W27="RANKED",COUNTIFS($W$5:$W$29,"RANKED",$AA$5:$AA$29,"&gt;"&amp;AA27)+1,"—")</f>
        <v>—</v>
      </c>
      <c r="Z27" s="44" t="str">
        <f aca="false">IF(W27="RANKED",Y27-X27,"—")</f>
        <v>—</v>
      </c>
      <c r="AA27" s="30" t="n">
        <f aca="false">'BUYER DATA'!D27</f>
        <v>9157.5</v>
      </c>
    </row>
    <row r="28" customFormat="false" ht="15" hidden="false" customHeight="false" outlineLevel="0" collapsed="false">
      <c r="A28" s="4" t="str">
        <f aca="false">'BUYER DATA'!A28</f>
        <v>RAGNO</v>
      </c>
      <c r="B28" s="29" t="n">
        <f aca="false">'BUYER DATA'!B28</f>
        <v>1</v>
      </c>
      <c r="C28" s="30" t="n">
        <f aca="false">'BUYER DATA'!D28/'BUYER DATA'!B28</f>
        <v>731.5</v>
      </c>
      <c r="D28" s="31" t="n">
        <f aca="false">'BUYER DATA'!D28/'BUYER DATA'!$D$30</f>
        <v>3.14656376970328E-005</v>
      </c>
      <c r="E28" s="42" t="n">
        <f aca="false">'BUYER DATA'!D28/'BUYER DATA'!E28</f>
        <v>0.0922737306843267</v>
      </c>
      <c r="F28" s="31" t="n">
        <f aca="false">'BUYER DATA'!F28</f>
        <v>0.1517</v>
      </c>
      <c r="G28" s="31" t="n">
        <f aca="false">'BUYER DATA'!G28</f>
        <v>0.1304</v>
      </c>
      <c r="H28" s="32" t="n">
        <f aca="false">'BUYER DATA'!H28</f>
        <v>1</v>
      </c>
      <c r="I28" s="32" t="n">
        <f aca="false">MIN(100,C28/INPUTS!$B$5*100)</f>
        <v>29.26</v>
      </c>
      <c r="J28" s="32" t="n">
        <f aca="false">MIN(100,D28/INPUTS!$B$6*100)</f>
        <v>0.0314656376970328</v>
      </c>
      <c r="K28" s="32" t="n">
        <f aca="false">MIN(100,E28/INPUTS!$B$7*100)</f>
        <v>100</v>
      </c>
      <c r="L28" s="32" t="n">
        <f aca="false">MIN(100,F28/INPUTS!$B$8*100)</f>
        <v>18.9625</v>
      </c>
      <c r="M28" s="32" t="n">
        <f aca="false">IF(G28&gt;0,MIN(100,INPUTS!$B$9/G28*100),100)</f>
        <v>76.6871165644172</v>
      </c>
      <c r="N28" s="32" t="n">
        <f aca="false">MIN(100,H28/INPUTS!$B$10*100)</f>
        <v>10</v>
      </c>
      <c r="O28" s="32" t="n">
        <f aca="false">I28*INPUTS!$D$5</f>
        <v>8.778</v>
      </c>
      <c r="P28" s="32" t="n">
        <f aca="false">J28*INPUTS!$D$6</f>
        <v>0.00629312753940655</v>
      </c>
      <c r="Q28" s="32" t="n">
        <f aca="false">K28*INPUTS!$D$7</f>
        <v>20</v>
      </c>
      <c r="R28" s="32" t="n">
        <f aca="false">L28*INPUTS!$D$8</f>
        <v>2.844375</v>
      </c>
      <c r="S28" s="32" t="n">
        <f aca="false">M28*INPUTS!$D$9</f>
        <v>7.66871165644172</v>
      </c>
      <c r="T28" s="32" t="n">
        <f aca="false">N28*INPUTS!$D$10</f>
        <v>0.5</v>
      </c>
      <c r="U28" s="11" t="n">
        <f aca="false">SUM(O28:T28)</f>
        <v>39.7973797839811</v>
      </c>
      <c r="V28" s="43" t="str">
        <f aca="false">IF(U28&gt;=INPUTS!$B$13,"A",IF(U28&gt;=INPUTS!$B$14,"B",IF(U28&gt;=INPUTS!$B$15,"C","D")))</f>
        <v>D</v>
      </c>
      <c r="W28" s="44" t="str">
        <f aca="false">IF(B28&gt;=INPUTS!$B$16,"RANKED","TRIAL")</f>
        <v>TRIAL</v>
      </c>
      <c r="X28" s="45" t="str">
        <f aca="false">IF(W28="RANKED",COUNTIFS($W$5:$W$29,"RANKED",$U$5:$U$29,"&gt;"&amp;U28)+1,"—")</f>
        <v>—</v>
      </c>
      <c r="Y28" s="44" t="str">
        <f aca="false">IF(W28="RANKED",COUNTIFS($W$5:$W$29,"RANKED",$AA$5:$AA$29,"&gt;"&amp;AA28)+1,"—")</f>
        <v>—</v>
      </c>
      <c r="Z28" s="44" t="str">
        <f aca="false">IF(W28="RANKED",Y28-X28,"—")</f>
        <v>—</v>
      </c>
      <c r="AA28" s="30" t="n">
        <f aca="false">'BUYER DATA'!D28</f>
        <v>731.5</v>
      </c>
    </row>
    <row r="29" customFormat="false" ht="15" hidden="false" customHeight="false" outlineLevel="0" collapsed="false">
      <c r="A29" s="4" t="str">
        <f aca="false">'BUYER DATA'!A29</f>
        <v>SSL</v>
      </c>
      <c r="B29" s="29" t="n">
        <f aca="false">'BUYER DATA'!B29</f>
        <v>4</v>
      </c>
      <c r="C29" s="30" t="n">
        <f aca="false">'BUYER DATA'!D29/'BUYER DATA'!B29</f>
        <v>0</v>
      </c>
      <c r="D29" s="31" t="n">
        <f aca="false">'BUYER DATA'!D29/'BUYER DATA'!$D$30</f>
        <v>0</v>
      </c>
      <c r="E29" s="42" t="n">
        <f aca="false">'BUYER DATA'!D29/'BUYER DATA'!E29</f>
        <v>0</v>
      </c>
      <c r="F29" s="31" t="n">
        <f aca="false">'BUYER DATA'!F29</f>
        <v>0.4209</v>
      </c>
      <c r="G29" s="31" t="n">
        <f aca="false">'BUYER DATA'!G29</f>
        <v>0.122425</v>
      </c>
      <c r="H29" s="32" t="n">
        <f aca="false">'BUYER DATA'!H29</f>
        <v>1</v>
      </c>
      <c r="I29" s="32" t="n">
        <f aca="false">MIN(100,C29/INPUTS!$B$5*100)</f>
        <v>0</v>
      </c>
      <c r="J29" s="32" t="n">
        <f aca="false">MIN(100,D29/INPUTS!$B$6*100)</f>
        <v>0</v>
      </c>
      <c r="K29" s="32" t="n">
        <f aca="false">MIN(100,E29/INPUTS!$B$7*100)</f>
        <v>0</v>
      </c>
      <c r="L29" s="32" t="n">
        <f aca="false">MIN(100,F29/INPUTS!$B$8*100)</f>
        <v>52.6125</v>
      </c>
      <c r="M29" s="32" t="n">
        <f aca="false">IF(G29&gt;0,MIN(100,INPUTS!$B$9/G29*100),100)</f>
        <v>81.6826628548091</v>
      </c>
      <c r="N29" s="32" t="n">
        <f aca="false">MIN(100,H29/INPUTS!$B$10*100)</f>
        <v>10</v>
      </c>
      <c r="O29" s="32" t="n">
        <f aca="false">I29*INPUTS!$D$5</f>
        <v>0</v>
      </c>
      <c r="P29" s="32" t="n">
        <f aca="false">J29*INPUTS!$D$6</f>
        <v>0</v>
      </c>
      <c r="Q29" s="32" t="n">
        <f aca="false">K29*INPUTS!$D$7</f>
        <v>0</v>
      </c>
      <c r="R29" s="32" t="n">
        <f aca="false">L29*INPUTS!$D$8</f>
        <v>7.891875</v>
      </c>
      <c r="S29" s="32" t="n">
        <f aca="false">M29*INPUTS!$D$9</f>
        <v>8.16826628548091</v>
      </c>
      <c r="T29" s="32" t="n">
        <f aca="false">N29*INPUTS!$D$10</f>
        <v>0.5</v>
      </c>
      <c r="U29" s="11" t="n">
        <f aca="false">SUM(O29:T29)</f>
        <v>16.5601412854809</v>
      </c>
      <c r="V29" s="43" t="str">
        <f aca="false">IF(U29&gt;=INPUTS!$B$13,"A",IF(U29&gt;=INPUTS!$B$14,"B",IF(U29&gt;=INPUTS!$B$15,"C","D")))</f>
        <v>D</v>
      </c>
      <c r="W29" s="44" t="str">
        <f aca="false">IF(B29&gt;=INPUTS!$B$16,"RANKED","TRIAL")</f>
        <v>TRIAL</v>
      </c>
      <c r="X29" s="45" t="str">
        <f aca="false">IF(W29="RANKED",COUNTIFS($W$5:$W$29,"RANKED",$U$5:$U$29,"&gt;"&amp;U29)+1,"—")</f>
        <v>—</v>
      </c>
      <c r="Y29" s="44" t="str">
        <f aca="false">IF(W29="RANKED",COUNTIFS($W$5:$W$29,"RANKED",$AA$5:$AA$29,"&gt;"&amp;AA29)+1,"—")</f>
        <v>—</v>
      </c>
      <c r="Z29" s="44" t="str">
        <f aca="false">IF(W29="RANKED",Y29-X29,"—")</f>
        <v>—</v>
      </c>
      <c r="AA29" s="30" t="n">
        <f aca="false">'BUYER DATA'!D29</f>
        <v>0</v>
      </c>
    </row>
    <row r="31" customFormat="false" ht="15" hidden="false" customHeight="false" outlineLevel="0" collapsed="false">
      <c r="A31" s="37" t="s">
        <v>237</v>
      </c>
    </row>
  </sheetData>
  <autoFilter ref="A4:AA29"/>
  <mergeCells count="6">
    <mergeCell ref="A1:AA1"/>
    <mergeCell ref="A2:AA2"/>
    <mergeCell ref="C3:H3"/>
    <mergeCell ref="I3:N3"/>
    <mergeCell ref="O3:T3"/>
    <mergeCell ref="U3:Z3"/>
  </mergeCells>
  <conditionalFormatting sqref="I5:N29">
    <cfRule type="cellIs" priority="2" operator="greaterThanOrEqual" aboveAverage="0" equalAverage="0" bottom="0" percent="0" rank="0" text="" dxfId="7">
      <formula>100</formula>
    </cfRule>
    <cfRule type="cellIs" priority="3" operator="lessThan" aboveAverage="0" equalAverage="0" bottom="0" percent="0" rank="0" text="" dxfId="8">
      <formula>75</formula>
    </cfRule>
  </conditionalFormatting>
  <conditionalFormatting sqref="V5:V29">
    <cfRule type="cellIs" priority="4" operator="equal" aboveAverage="0" equalAverage="0" bottom="0" percent="0" rank="0" text="" dxfId="7">
      <formula>"A"</formula>
    </cfRule>
    <cfRule type="cellIs" priority="5" operator="equal" aboveAverage="0" equalAverage="0" bottom="0" percent="0" rank="0" text="" dxfId="8">
      <formula>"D"</formula>
    </cfRule>
    <cfRule type="cellIs" priority="6" operator="equal" aboveAverage="0" equalAverage="0" bottom="0" percent="0" rank="0" text="" dxfId="9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238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239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181</v>
      </c>
      <c r="B4" s="46" t="s">
        <v>193</v>
      </c>
      <c r="C4" s="28" t="s">
        <v>240</v>
      </c>
      <c r="D4" s="33" t="n">
        <f aca="false">MATCH(B4,'SCORE BREAKDOWN'!$A$5:$A$29,0)</f>
        <v>4</v>
      </c>
    </row>
    <row r="6" customFormat="false" ht="42" hidden="false" customHeight="true" outlineLevel="0" collapsed="false">
      <c r="A6" s="3" t="s">
        <v>155</v>
      </c>
      <c r="B6" s="3" t="s">
        <v>241</v>
      </c>
      <c r="C6" s="3" t="s">
        <v>156</v>
      </c>
      <c r="D6" s="3" t="s">
        <v>242</v>
      </c>
      <c r="E6" s="3" t="s">
        <v>158</v>
      </c>
      <c r="F6" s="3" t="s">
        <v>243</v>
      </c>
    </row>
    <row r="7" customFormat="false" ht="15" hidden="false" customHeight="false" outlineLevel="0" collapsed="false">
      <c r="A7" s="4" t="s">
        <v>244</v>
      </c>
      <c r="B7" s="30" t="n">
        <f aca="false">INDEX('SCORE BREAKDOWN'!$C$5:$C$29,$D$4)</f>
        <v>2198.61827242525</v>
      </c>
      <c r="C7" s="30" t="n">
        <f aca="false">INPUTS!B5</f>
        <v>2500</v>
      </c>
      <c r="D7" s="32" t="n">
        <f aca="false">INDEX('SCORE BREAKDOWN'!$I$5:$I$29,$D$4)</f>
        <v>87.94473089701</v>
      </c>
      <c r="E7" s="47" t="n">
        <f aca="false">INPUTS!D5</f>
        <v>0.3</v>
      </c>
      <c r="F7" s="32" t="n">
        <f aca="false">INDEX('SCORE BREAKDOWN'!$O$5:$O$29,$D$4)</f>
        <v>26.383419269103</v>
      </c>
    </row>
    <row r="8" customFormat="false" ht="15" hidden="false" customHeight="false" outlineLevel="0" collapsed="false">
      <c r="A8" s="4" t="s">
        <v>245</v>
      </c>
      <c r="B8" s="31" t="n">
        <f aca="false">INDEX('SCORE BREAKDOWN'!$D$5:$D$29,$D$4)</f>
        <v>0.056933585028727</v>
      </c>
      <c r="C8" s="31" t="n">
        <f aca="false">INPUTS!B6</f>
        <v>0.1</v>
      </c>
      <c r="D8" s="32" t="n">
        <f aca="false">INDEX('SCORE BREAKDOWN'!$J$5:$J$29,$D$4)</f>
        <v>56.933585028727</v>
      </c>
      <c r="E8" s="47" t="n">
        <f aca="false">INPUTS!D6</f>
        <v>0.2</v>
      </c>
      <c r="F8" s="32" t="n">
        <f aca="false">INDEX('SCORE BREAKDOWN'!$P$5:$P$29,$D$4)</f>
        <v>11.3867170057454</v>
      </c>
    </row>
    <row r="9" customFormat="false" ht="15" hidden="false" customHeight="false" outlineLevel="0" collapsed="false">
      <c r="A9" s="4" t="s">
        <v>246</v>
      </c>
      <c r="B9" s="42" t="n">
        <f aca="false">INDEX('SCORE BREAKDOWN'!$E$5:$E$29,$D$4)</f>
        <v>0.0757882324444289</v>
      </c>
      <c r="C9" s="42" t="n">
        <f aca="false">INPUTS!B7</f>
        <v>0.0843</v>
      </c>
      <c r="D9" s="32" t="n">
        <f aca="false">INDEX('SCORE BREAKDOWN'!$K$5:$K$29,$D$4)</f>
        <v>89.903004085918</v>
      </c>
      <c r="E9" s="47" t="n">
        <f aca="false">INPUTS!D7</f>
        <v>0.2</v>
      </c>
      <c r="F9" s="32" t="n">
        <f aca="false">INDEX('SCORE BREAKDOWN'!$Q$5:$Q$29,$D$4)</f>
        <v>17.9806008171836</v>
      </c>
    </row>
    <row r="10" customFormat="false" ht="15" hidden="false" customHeight="false" outlineLevel="0" collapsed="false">
      <c r="A10" s="4" t="s">
        <v>166</v>
      </c>
      <c r="B10" s="31" t="n">
        <f aca="false">INDEX('SCORE BREAKDOWN'!$F$5:$F$29,$D$4)</f>
        <v>0.667599332294948</v>
      </c>
      <c r="C10" s="31" t="n">
        <f aca="false">INPUTS!B8</f>
        <v>0.8</v>
      </c>
      <c r="D10" s="32" t="n">
        <f aca="false">INDEX('SCORE BREAKDOWN'!$L$5:$L$29,$D$4)</f>
        <v>83.4499165368685</v>
      </c>
      <c r="E10" s="47" t="n">
        <f aca="false">INPUTS!D8</f>
        <v>0.15</v>
      </c>
      <c r="F10" s="32" t="n">
        <f aca="false">INDEX('SCORE BREAKDOWN'!$R$5:$R$29,$D$4)</f>
        <v>12.5174874805303</v>
      </c>
    </row>
    <row r="11" customFormat="false" ht="15" hidden="false" customHeight="false" outlineLevel="0" collapsed="false">
      <c r="A11" s="4" t="s">
        <v>247</v>
      </c>
      <c r="B11" s="31" t="n">
        <f aca="false">INDEX('SCORE BREAKDOWN'!$G$5:$G$29,$D$4)</f>
        <v>0.116898214961111</v>
      </c>
      <c r="C11" s="31" t="n">
        <f aca="false">INPUTS!B9</f>
        <v>0.1</v>
      </c>
      <c r="D11" s="32" t="n">
        <f aca="false">INDEX('SCORE BREAKDOWN'!$M$5:$M$29,$D$4)</f>
        <v>85.5445055626104</v>
      </c>
      <c r="E11" s="47" t="n">
        <f aca="false">INPUTS!D9</f>
        <v>0.1</v>
      </c>
      <c r="F11" s="32" t="n">
        <f aca="false">INDEX('SCORE BREAKDOWN'!$S$5:$S$29,$D$4)</f>
        <v>8.55445055626104</v>
      </c>
    </row>
    <row r="12" customFormat="false" ht="15" hidden="false" customHeight="false" outlineLevel="0" collapsed="false">
      <c r="A12" s="4" t="s">
        <v>248</v>
      </c>
      <c r="B12" s="32" t="n">
        <f aca="false">INDEX('SCORE BREAKDOWN'!$H$5:$H$29,$D$4)</f>
        <v>2.74885844748859</v>
      </c>
      <c r="C12" s="32" t="n">
        <f aca="false">INPUTS!B10</f>
        <v>10</v>
      </c>
      <c r="D12" s="32" t="n">
        <f aca="false">INDEX('SCORE BREAKDOWN'!$N$5:$N$29,$D$4)</f>
        <v>27.4885844748859</v>
      </c>
      <c r="E12" s="47" t="n">
        <f aca="false">INPUTS!D10</f>
        <v>0.05</v>
      </c>
      <c r="F12" s="32" t="n">
        <f aca="false">INDEX('SCORE BREAKDOWN'!$T$5:$T$29,$D$4)</f>
        <v>1.37442922374429</v>
      </c>
    </row>
    <row r="13" customFormat="false" ht="15" hidden="false" customHeight="false" outlineLevel="0" collapsed="false">
      <c r="A13" s="34" t="s">
        <v>232</v>
      </c>
      <c r="F13" s="48" t="n">
        <f aca="false">SUM(F7:F12)</f>
        <v>78.1971043525676</v>
      </c>
    </row>
    <row r="14" customFormat="false" ht="15" hidden="false" customHeight="false" outlineLevel="0" collapsed="false">
      <c r="A14" s="4" t="s">
        <v>66</v>
      </c>
      <c r="F14" s="4" t="str">
        <f aca="false">INDEX('SCORE BREAKDOWN'!$V$5:$V$29,$D$4)</f>
        <v>B</v>
      </c>
    </row>
    <row r="15" customFormat="false" ht="15" hidden="false" customHeight="false" outlineLevel="0" collapsed="false">
      <c r="A15" s="4" t="s">
        <v>234</v>
      </c>
      <c r="F15" s="4" t="n">
        <f aca="false">INDEX('SCORE BREAKDOWN'!$X$5:$X$29,$D$4)</f>
        <v>4</v>
      </c>
    </row>
    <row r="16" customFormat="false" ht="15" hidden="false" customHeight="false" outlineLevel="0" collapsed="false">
      <c r="A16" s="4" t="s">
        <v>235</v>
      </c>
      <c r="F16" s="4" t="n">
        <f aca="false">INDEX('SCORE BREAKDOWN'!$Y$5:$Y$29,$D$4)</f>
        <v>4</v>
      </c>
    </row>
    <row r="17" customFormat="false" ht="15" hidden="false" customHeight="false" outlineLevel="0" collapsed="false">
      <c r="A17" s="4" t="s">
        <v>233</v>
      </c>
      <c r="F17" s="4" t="str">
        <f aca="false">INDEX('SCORE BREAKDOWN'!$W$5:$W$29,$D$4)</f>
        <v>RANKED</v>
      </c>
    </row>
    <row r="19" customFormat="false" ht="15" hidden="false" customHeight="false" outlineLevel="0" collapsed="false">
      <c r="A19" s="17" t="s">
        <v>249</v>
      </c>
    </row>
    <row r="20" customFormat="false" ht="15" hidden="false" customHeight="false" outlineLevel="0" collapsed="false">
      <c r="A20" s="49" t="str">
        <f aca="false">B4&amp;": yield "&amp;TEXT(B7,"$#,##0")&amp;" vs "&amp;TEXT(C7,"$#,##0")&amp;" → "&amp;TEXT(D7,"0.0")&amp;" pts of 100 × 30% = "&amp;TEXT(F7,"0.0")&amp;". Total "&amp;TEXT(F13,"0.0")&amp;" → grade "&amp;F14&amp;", rank "&amp;F15&amp;"."</f>
        <v>TARGET: yield $2,199 vs $2,500 → 87.9 pts of 100 × 30% = 26.4. Total 78.2 → grade B, rank 4.</v>
      </c>
      <c r="B20" s="49"/>
      <c r="C20" s="49"/>
      <c r="D20" s="49"/>
      <c r="E20" s="49"/>
      <c r="F20" s="49"/>
    </row>
  </sheetData>
  <mergeCells count="3">
    <mergeCell ref="A1:F1"/>
    <mergeCell ref="A2:F2"/>
    <mergeCell ref="A20:F20"/>
  </mergeCells>
  <dataValidations count="1">
    <dataValidation allowBlank="false" errorStyle="stop" operator="between" showDropDown="false" showErrorMessage="false" showInputMessage="false" sqref="B4" type="list">
      <formula1>'SCORE BREAKDOWN'!$A$5:$A$29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2026-10-25T17:44:23Z</dcterms:created>
  <dc:creator>openpyxl</dc:creator>
  <dc:description/>
  <dc:language>en-US</dc:language>
  <cp:lastModifiedBy/>
  <dcterms:modified xsi:type="dcterms:W3CDTF">2026-10-25T17:44:23Z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